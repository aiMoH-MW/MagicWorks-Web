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y of week" sheetId="2" state="visible" r:id="rId4"/>
    <sheet name="12-week pattern" sheetId="3" state="visible" r:id="rId5"/>
    <sheet name="Hour of day" sheetId="4" state="visible" r:id="rId6"/>
    <sheet name="Decision guid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<sst xmlns="http://schemas.openxmlformats.org/spreadsheetml/2006/main" count="229" uniqueCount="133">
  <si>
    <t xml:space="preserve">FREE DOWNLOAD · SAME WAR, NEW WEAPONS · MEASUREMENT &amp; DATA</t>
  </si>
  <si>
    <t xml:space="preserve">Dayparting Analysis Template</t>
  </si>
  <si>
    <t xml:space="preserve">Split your Google Ads results by day and hour, compare cost per lead and conversion rate, and see which patterns repeat week after week. Companion to "The Sunday Problem".</t>
  </si>
  <si>
    <t xml:space="preserve">HOW TO USE THIS TEMPLATE</t>
  </si>
  <si>
    <t xml:space="preserve">1.  In Google Ads, open your campaign and go to the ad schedule report (day and hour view). Set the date range to the last 8 to 12 weeks.</t>
  </si>
  <si>
    <t xml:space="preserve">2.  Tab "Day of week": enter clicks, cost, and conversions for each day. If you can, add qualified leads and sales for each day from your CRM.</t>
  </si>
  <si>
    <t xml:space="preserve">3.  Tab "12-week pattern": enter cost and conversions for each day of each week. This shows whether a weak day is a pattern or a one-off.</t>
  </si>
  <si>
    <t xml:space="preserve">4.  Tab "Hour of day": enter clicks, cost, and conversions by hour, and mark the hours your team can answer calls.</t>
  </si>
  <si>
    <t xml:space="preserve">5.  Read the flags, then use tab "Decision guide" to choose what to change. Change one thing, test it for four weeks, and measure the whole week.</t>
  </si>
  <si>
    <t xml:space="preserve">LEGEND</t>
  </si>
  <si>
    <t xml:space="preserve">Lavender cell, blue text</t>
  </si>
  <si>
    <t xml:space="preserve">Your data goes here</t>
  </si>
  <si>
    <t xml:space="preserve">White cell, dark text</t>
  </si>
  <si>
    <t xml:space="preserve">Calculated for you. Do not overwrite.</t>
  </si>
  <si>
    <t xml:space="preserve">Flag threshold: a day or hour whose cost per lead is this much above (or below) the average is flagged Weak (or Strong). Change it if you like.</t>
  </si>
  <si>
    <t xml:space="preserve">EXAMPLE OF THE EXPECTED FORMAT (illustrative figures, not real data)</t>
  </si>
  <si>
    <t xml:space="preserve">Day</t>
  </si>
  <si>
    <t xml:space="preserve">Clicks</t>
  </si>
  <si>
    <t xml:space="preserve">Cost (₹)</t>
  </si>
  <si>
    <t xml:space="preserve">Conversions</t>
  </si>
  <si>
    <t xml:space="preserve">Cost per lead</t>
  </si>
  <si>
    <t xml:space="preserve">Wednesday</t>
  </si>
  <si>
    <t xml:space="preserve">Sunday</t>
  </si>
  <si>
    <t xml:space="preserve">READ BEFORE YOU ACT</t>
  </si>
  <si>
    <t xml:space="preserve">•  Judge days on conversions, not clicks. A day with cheap clicks and no leads is not a good day.</t>
  </si>
  <si>
    <t xml:space="preserve">•  Act only on patterns that repeat for at least eight weeks and survive a check on lead quality.</t>
  </si>
  <si>
    <t xml:space="preserve">•  Smart Bidding (Maximize conversions, Target CPA, Target ROAS) does not use manual ad schedule bid adjustments; it already adjusts bids by time of day. It does follow the schedule itself, so your levers are: excluding hours, shifting budget, changing the message, and fixing follow-up.</t>
  </si>
  <si>
    <t xml:space="preserve">•  Google Ads reports a conversion on the date the ad was shown. A Sunday click that becomes a Monday lead is counted on Sunday in Google Ads, and on Monday in most other tools.</t>
  </si>
  <si>
    <t xml:space="preserve">•  Re-read the pattern every quarter and compare like with like: festival weeks, admission seasons, and long weekends shift the weekly rhythm.</t>
  </si>
  <si>
    <t xml:space="preserve">Read the full article: The Sunday Problem</t>
  </si>
  <si>
    <t xml:space="preserve">Need help reading your account? Talk to us about an optimization sprint</t>
  </si>
  <si>
    <t xml:space="preserve">MagicWorks IT Solutions · Evolving with Purpose</t>
  </si>
  <si>
    <t xml:space="preserve">Day of week</t>
  </si>
  <si>
    <t xml:space="preserve">Enter 8 to 12 weeks of totals for each day. Cost per lead is compared with the average across all days.</t>
  </si>
  <si>
    <t xml:space="preserve">Qualified leads (CRM, optional)</t>
  </si>
  <si>
    <t xml:space="preserve">Sales (CRM, optional)</t>
  </si>
  <si>
    <t xml:space="preserve">Conversion rate</t>
  </si>
  <si>
    <t xml:space="preserve">vs average cost per lead</t>
  </si>
  <si>
    <t xml:space="preserve">Cost per qualified lead</t>
  </si>
  <si>
    <t xml:space="preserve">Lead-to-sale rate</t>
  </si>
  <si>
    <t xml:space="preserve">Flag</t>
  </si>
  <si>
    <t xml:space="preserve">Monday</t>
  </si>
  <si>
    <t xml:space="preserve">Tuesday</t>
  </si>
  <si>
    <t xml:space="preserve">Thursday</t>
  </si>
  <si>
    <t xml:space="preserve">Friday</t>
  </si>
  <si>
    <t xml:space="preserve">Saturday</t>
  </si>
  <si>
    <t xml:space="preserve">All days</t>
  </si>
  <si>
    <t xml:space="preserve">How to read this</t>
  </si>
  <si>
    <t xml:space="preserve">•  Weak = cost per lead more than the threshold above the all-days average (set on "Start here"). Strong = more than the threshold below it.</t>
  </si>
  <si>
    <t xml:space="preserve">•  If you add CRM data, check cost per qualified lead too. A day with cheap leads nobody closes is a weak day in disguise.</t>
  </si>
  <si>
    <t xml:space="preserve">•  One tab is a summary. Before acting, confirm the pattern repeats on the "12-week pattern" tab.</t>
  </si>
  <si>
    <t xml:space="preserve">12-week pattern</t>
  </si>
  <si>
    <t xml:space="preserve">Enter cost and conversions for each day of each week. The sheet marks the costliest and cheapest day of every week, then counts how often each day repeats.</t>
  </si>
  <si>
    <t xml:space="preserve">Cost (₹) by day</t>
  </si>
  <si>
    <t xml:space="preserve">Week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</si>
  <si>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</si>
  <si>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</si>
  <si>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</si>
  <si>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</si>
  <si>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</si>
  <si>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</si>
  <si>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</si>
  <si>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</si>
  <si>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</si>
  <si>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</si>
  <si>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Week 11</t>
  </si>
  <si>
    <t xml:space="preserve">Week 12</t>
  </si>
  <si>
    <t xml:space="preserve">Conversions by day</t>
  </si>
  <si>
    <t xml:space="preserve">Cost per lead (calculated)</t>
  </si>
  <si>
    <t xml:space="preserve">Costliest and cheapest day of each week (calculated)</t>
  </si>
  <si>
    <t xml:space="preserve">Summary: does the pattern repeat?</t>
  </si>
  <si>
    <t xml:space="preserve">Measure</t>
  </si>
  <si>
    <t xml:space="preserve">Weeks with data</t>
  </si>
  <si>
    <t xml:space="preserve">Average cost per lead</t>
  </si>
  <si>
    <t xml:space="preserve">Weeks as costliest day</t>
  </si>
  <si>
    <t xml:space="preserve">Weeks as cheapest day</t>
  </si>
  <si>
    <t xml:space="preserve">Verdict</t>
  </si>
  <si>
    <t xml:space="preserve">•  "Repeating" means the day was the costliest (or cheapest) in at least half of the weeks with data, over at least 8 weeks. One bad Sunday is noise. Eight in a row is a pattern.</t>
  </si>
  <si>
    <t xml:space="preserve">Hour of day</t>
  </si>
  <si>
    <t xml:space="preserve">Enter totals for each hour over the same 8 to 12 weeks. Mark the hours your team can answer calls, so call ads do not run into an empty line.</t>
  </si>
  <si>
    <t xml:space="preserve">Hour</t>
  </si>
  <si>
    <t xml:space="preserve">Team answers calls? (Y/N)</t>
  </si>
  <si>
    <t xml:space="preserve">00:00 to 00:59</t>
  </si>
  <si>
    <t xml:space="preserve">01:00 to 01:59</t>
  </si>
  <si>
    <t xml:space="preserve">02:00 to 02:59</t>
  </si>
  <si>
    <t xml:space="preserve">03:00 to 03:59</t>
  </si>
  <si>
    <t xml:space="preserve">04:00 to 04:59</t>
  </si>
  <si>
    <t xml:space="preserve">05:00 to 05:59</t>
  </si>
  <si>
    <t xml:space="preserve">06:00 to 06:59</t>
  </si>
  <si>
    <t xml:space="preserve">07:00 to 07:59</t>
  </si>
  <si>
    <t xml:space="preserve">08:00 to 08:59</t>
  </si>
  <si>
    <t xml:space="preserve">09:00 to 09:59</t>
  </si>
  <si>
    <t xml:space="preserve">10:00 to 10:59</t>
  </si>
  <si>
    <t xml:space="preserve">11:00 to 11:59</t>
  </si>
  <si>
    <t xml:space="preserve">12:00 to 12:59</t>
  </si>
  <si>
    <t xml:space="preserve">13:00 to 13:59</t>
  </si>
  <si>
    <t xml:space="preserve">14:00 to 14:59</t>
  </si>
  <si>
    <t xml:space="preserve">15:00 to 15:59</t>
  </si>
  <si>
    <t xml:space="preserve">16:00 to 16:59</t>
  </si>
  <si>
    <t xml:space="preserve">17:00 to 17:59</t>
  </si>
  <si>
    <t xml:space="preserve">18:00 to 18:59</t>
  </si>
  <si>
    <t xml:space="preserve">19:00 to 19:59</t>
  </si>
  <si>
    <t xml:space="preserve">20:00 to 20:59</t>
  </si>
  <si>
    <t xml:space="preserve">21:00 to 21:59</t>
  </si>
  <si>
    <t xml:space="preserve">22:00 to 22:59</t>
  </si>
  <si>
    <t xml:space="preserve">23:00 to 23:59</t>
  </si>
  <si>
    <t xml:space="preserve">All hours</t>
  </si>
  <si>
    <t xml:space="preserve">Decision guide</t>
  </si>
  <si>
    <t xml:space="preserve">What to do once a pattern is clear. The right move depends on how the campaign bids.</t>
  </si>
  <si>
    <t xml:space="preserve">What you see</t>
  </si>
  <si>
    <t xml:space="preserve">On manual or clicks-based bidding</t>
  </si>
  <si>
    <t xml:space="preserve">On Smart Bidding</t>
  </si>
  <si>
    <t xml:space="preserve">A day costs more every week</t>
  </si>
  <si>
    <t xml:space="preserve">Lower that day’s bid in modest steps, then review after two to four weeks</t>
  </si>
  <si>
    <t xml:space="preserve">Change the message for that day, or shift budget toward what works on strong days</t>
  </si>
  <si>
    <t xml:space="preserve">Some hours never convert</t>
  </si>
  <si>
    <t xml:space="preserve">Lower bids for those hours</t>
  </si>
  <si>
    <t xml:space="preserve">Exclude those hours from the ad schedule</t>
  </si>
  <si>
    <t xml:space="preserve">Calls arrive when nobody answers</t>
  </si>
  <si>
    <t xml:space="preserve">Match the ad schedule to the hours your team can respond</t>
  </si>
  <si>
    <t xml:space="preserve">Leads go cold before follow-up</t>
  </si>
  <si>
    <t xml:space="preserve">Fix sales response time first</t>
  </si>
  <si>
    <t xml:space="preserve">Pattern appears for two weeks only</t>
  </si>
  <si>
    <t xml:space="preserve">Wait for more data</t>
  </si>
  <si>
    <t xml:space="preserve">You want to switch a whole day off</t>
  </si>
  <si>
    <t xml:space="preserve">Test first: reduce that day for four weeks, watch total weekly leads</t>
  </si>
  <si>
    <t xml:space="preserve">Test first, ideally as a campaign experiment, and watch total weekly leads</t>
  </si>
  <si>
    <t xml:space="preserve">THE DECISION RULE</t>
  </si>
  <si>
    <t xml:space="preserve">Adjust a day only when the pattern repeats for at least eight weeks, holds on conversions and not just clicks, and survives a check on lead quality. Then change one thing, test it, and measure the whole week.</t>
  </si>
  <si>
    <t xml:space="preserve">Sources</t>
  </si>
  <si>
    <t xml:space="preserve">Google Ads Help: About ad scheduling</t>
  </si>
  <si>
    <t xml:space="preserve">Google Ads Help: About bid adjustments (Smart Bidding and ad schedule adjustments)</t>
  </si>
  <si>
    <t xml:space="preserve">Google Ads Help: Data discrepancies (conversions reported on the ad impression date)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</si>
</sst>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#,##0"/>
    <numFmt numFmtId="167" formatCode="\₹#,##0"/>
    <numFmt numFmtId="168" formatCode="0.0%"/>
    <numFmt numFmtId="169" formatCode="\+0%;\-0%;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D4A537"/>
      <name val="Calibri"/>
      <family val="0"/>
      <charset val="1"/>
    </font>
    <font>
      <b val="true"/>
      <sz val="18"/>
      <color rgb="FF2A1B5C"/>
      <name val="Georgia"/>
      <family val="0"/>
      <charset val="1"/>
    </font>
    <font>
      <i val="true"/>
      <sz val="10"/>
      <color rgb="FF1A1A22"/>
      <name val="Calibri"/>
      <family val="0"/>
      <charset val="1"/>
    </font>
    <font>
      <b val="true"/>
      <sz val="9"/>
      <color rgb="FF5B3FBE"/>
      <name val="Calibri"/>
      <family val="0"/>
      <charset val="1"/>
    </font>
    <font>
      <sz val="10"/>
      <color rgb="FF1A1A22"/>
      <name val="Calibri"/>
      <family val="0"/>
      <charset val="1"/>
    </font>
    <font>
      <sz val="10"/>
      <color rgb="FF1F3FB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A1A22"/>
      <name val="Calibri"/>
      <family val="0"/>
      <charset val="1"/>
    </font>
    <font>
      <b val="true"/>
      <u val="single"/>
      <sz val="10"/>
      <color rgb="FF5B3FBE"/>
      <name val="Calibri"/>
      <family val="0"/>
      <charset val="1"/>
    </font>
    <font>
      <sz val="8"/>
      <color rgb="FF6B6878"/>
      <name val="Calibri"/>
      <family val="0"/>
      <charset val="1"/>
    </font>
    <font>
      <b val="true"/>
      <sz val="10"/>
      <color rgb="FF2A1B5C"/>
      <name val="Calibri"/>
      <family val="0"/>
      <charset val="1"/>
    </font>
    <font>
      <b val="true"/>
      <sz val="10"/>
      <color rgb="FF5B3FBE"/>
      <name val="Calibri"/>
      <family val="0"/>
      <charset val="1"/>
    </font>
    <font>
      <b val="true"/>
      <sz val="12"/>
      <color rgb="FF2A1B5C"/>
      <name val="Georgia"/>
      <family val="0"/>
      <charset val="1"/>
    </font>
    <font>
      <u val="single"/>
      <sz val="10"/>
      <color rgb="FF5B3FBE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1ECFB"/>
        <bgColor rgb="FFF7F3EA"/>
      </patternFill>
    </fill>
    <fill>
      <patternFill patternType="solid">
        <fgColor rgb="FF2A1B5C"/>
        <bgColor rgb="FF1A1A22"/>
      </patternFill>
    </fill>
    <fill>
      <patternFill patternType="solid">
        <fgColor rgb="FFF7F3EA"/>
        <bgColor rgb="FFF1ECFB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D4A537"/>
      </bottom>
      <diagonal/>
    </border>
    <border diagonalUp="false" diagonalDown="false">
      <left style="thin">
        <color rgb="FFD9D5E3"/>
      </left>
      <right style="thin">
        <color rgb="FFD9D5E3"/>
      </right>
      <top style="thin">
        <color rgb="FFD9D5E3"/>
      </top>
      <bottom style="thin">
        <color rgb="FFD9D5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b val="1"/>
        <color rgb="FF7A5A00"/>
      </font>
      <fill>
        <patternFill>
          <bgColor rgb="FFF6E3B4"/>
        </patternFill>
      </fill>
    </dxf>
    <dxf>
      <font>
        <name val="Calibri"/>
        <charset val="1"/>
        <family val="0"/>
        <b val="1"/>
        <color rgb="FF5B3FBE"/>
      </font>
      <fill>
        <patternFill>
          <bgColor rgb="FFF1ECF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A00"/>
      <rgbColor rgb="FF800080"/>
      <rgbColor rgb="FF008080"/>
      <rgbColor rgb="FFC0C0C0"/>
      <rgbColor rgb="FF808080"/>
      <rgbColor rgb="FF9999FF"/>
      <rgbColor rgb="FF993366"/>
      <rgbColor rgb="FFF7F3EA"/>
      <rgbColor rgb="FFF1ECFB"/>
      <rgbColor rgb="FF660066"/>
      <rgbColor rgb="FFFF8080"/>
      <rgbColor rgb="FF0066CC"/>
      <rgbColor rgb="FFD9D5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E3B4"/>
      <rgbColor rgb="FF5B3FBE"/>
      <rgbColor rgb="FF33CCCC"/>
      <rgbColor rgb="FF99CC00"/>
      <rgbColor rgb="FFFFCC00"/>
      <rgbColor rgb="FFD4A537"/>
      <rgbColor rgb="FFFF6600"/>
      <rgbColor rgb="FF6B6878"/>
      <rgbColor rgb="FF969696"/>
      <rgbColor rgb="FF003366"/>
      <rgbColor rgb="FF339966"/>
      <rgbColor rgb="FF003300"/>
      <rgbColor rgb="FF1A1A22"/>
      <rgbColor rgb="FF993300"/>
      <rgbColor rgb="FF993366"/>
      <rgbColor rgb="FF1F3FBF"/>
      <rgbColor rgb="FF2A1B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agicworksitsolutions.com/blog/the-sunday-problem" TargetMode="External"/><Relationship Id="rId2" Type="http://schemas.openxmlformats.org/officeDocument/2006/relationships/hyperlink" Target="https://magicworksitsolutions.com/contact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support.google.com/google-ads/answer/2404244" TargetMode="External"/><Relationship Id="rId2" Type="http://schemas.openxmlformats.org/officeDocument/2006/relationships/hyperlink" Target="https://support.google.com/google-ads/answer/2732132" TargetMode="External"/><Relationship Id="rId3" Type="http://schemas.openxmlformats.org/officeDocument/2006/relationships/hyperlink" Target="https://support.google.com/google-ads/answer/745711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537"/>
    <pageSetUpPr fitToPage="true"/>
  </sheetPr>
  <dimension ref="A1:F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5" min="3" style="0" width="18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1</v>
      </c>
    </row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4"/>
      <c r="B4" s="4"/>
      <c r="C4" s="4"/>
      <c r="D4" s="4"/>
      <c r="E4" s="4"/>
      <c r="F4" s="4"/>
    </row>
    <row r="6" customFormat="false" ht="15" hidden="false" customHeight="true" outlineLevel="0" collapsed="false">
      <c r="B6" s="5" t="s">
        <v>3</v>
      </c>
      <c r="C6" s="5"/>
      <c r="D6" s="5"/>
      <c r="E6" s="5"/>
      <c r="F6" s="5"/>
    </row>
    <row r="7" customFormat="false" ht="30" hidden="false" customHeight="true" outlineLevel="0" collapsed="false">
      <c r="B7" s="6" t="s">
        <v>4</v>
      </c>
      <c r="C7" s="6"/>
      <c r="D7" s="6"/>
      <c r="E7" s="6"/>
      <c r="F7" s="6"/>
    </row>
    <row r="8" customFormat="false" ht="30" hidden="false" customHeight="true" outlineLevel="0" collapsed="false">
      <c r="B8" s="6" t="s">
        <v>5</v>
      </c>
      <c r="C8" s="6"/>
      <c r="D8" s="6"/>
      <c r="E8" s="6"/>
      <c r="F8" s="6"/>
    </row>
    <row r="9" customFormat="false" ht="30" hidden="false" customHeight="true" outlineLevel="0" collapsed="false">
      <c r="B9" s="6" t="s">
        <v>6</v>
      </c>
      <c r="C9" s="6"/>
      <c r="D9" s="6"/>
      <c r="E9" s="6"/>
      <c r="F9" s="6"/>
    </row>
    <row r="10" customFormat="false" ht="30" hidden="false" customHeight="true" outlineLevel="0" collapsed="false">
      <c r="B10" s="6" t="s">
        <v>7</v>
      </c>
      <c r="C10" s="6"/>
      <c r="D10" s="6"/>
      <c r="E10" s="6"/>
      <c r="F10" s="6"/>
    </row>
    <row r="11" customFormat="false" ht="30" hidden="false" customHeight="true" outlineLevel="0" collapsed="false">
      <c r="B11" s="6" t="s">
        <v>8</v>
      </c>
      <c r="C11" s="6"/>
      <c r="D11" s="6"/>
      <c r="E11" s="6"/>
      <c r="F11" s="6"/>
    </row>
    <row r="13" customFormat="false" ht="15" hidden="false" customHeight="true" outlineLevel="0" collapsed="false">
      <c r="B13" s="5" t="s">
        <v>9</v>
      </c>
      <c r="C13" s="5"/>
      <c r="D13" s="5"/>
      <c r="E13" s="5"/>
      <c r="F13" s="5"/>
    </row>
    <row r="14" customFormat="false" ht="15" hidden="false" customHeight="false" outlineLevel="0" collapsed="false">
      <c r="B14" s="7" t="s">
        <v>10</v>
      </c>
      <c r="C14" s="8" t="s">
        <v>11</v>
      </c>
    </row>
    <row r="15" customFormat="false" ht="15" hidden="false" customHeight="false" outlineLevel="0" collapsed="false">
      <c r="B15" s="9" t="s">
        <v>12</v>
      </c>
      <c r="C15" s="8" t="s">
        <v>13</v>
      </c>
    </row>
    <row r="16" customFormat="false" ht="30" hidden="false" customHeight="true" outlineLevel="0" collapsed="false">
      <c r="B16" s="10" t="n">
        <v>0.15</v>
      </c>
      <c r="C16" s="6" t="s">
        <v>14</v>
      </c>
      <c r="D16" s="6"/>
      <c r="E16" s="6"/>
      <c r="F16" s="6"/>
    </row>
    <row r="18" customFormat="false" ht="15" hidden="false" customHeight="true" outlineLevel="0" collapsed="false">
      <c r="B18" s="5" t="s">
        <v>15</v>
      </c>
      <c r="C18" s="5"/>
      <c r="D18" s="5"/>
      <c r="E18" s="5"/>
      <c r="F18" s="5"/>
    </row>
    <row r="19" customFormat="false" ht="31.5" hidden="false" customHeight="true" outlineLevel="0" collapsed="false">
      <c r="B19" s="11" t="s">
        <v>16</v>
      </c>
      <c r="C19" s="11" t="s">
        <v>17</v>
      </c>
      <c r="D19" s="11" t="s">
        <v>18</v>
      </c>
      <c r="E19" s="11" t="s">
        <v>19</v>
      </c>
      <c r="F19" s="11" t="s">
        <v>20</v>
      </c>
    </row>
    <row r="20" customFormat="false" ht="15" hidden="false" customHeight="false" outlineLevel="0" collapsed="false">
      <c r="B20" s="12" t="s">
        <v>21</v>
      </c>
      <c r="C20" s="13" t="n">
        <v>400</v>
      </c>
      <c r="D20" s="14" t="n">
        <v>16000</v>
      </c>
      <c r="E20" s="13" t="n">
        <v>20</v>
      </c>
      <c r="F20" s="15" t="n">
        <f aca="false">IFERROR(D20/E20,"")</f>
        <v>800</v>
      </c>
    </row>
    <row r="21" customFormat="false" ht="15" hidden="false" customHeight="false" outlineLevel="0" collapsed="false">
      <c r="B21" s="12" t="s">
        <v>22</v>
      </c>
      <c r="C21" s="13" t="n">
        <v>420</v>
      </c>
      <c r="D21" s="14" t="n">
        <v>16800</v>
      </c>
      <c r="E21" s="13" t="n">
        <v>14</v>
      </c>
      <c r="F21" s="15" t="n">
        <f aca="false">IFERROR(D21/E21,"")</f>
        <v>1200</v>
      </c>
    </row>
    <row r="23" customFormat="false" ht="15" hidden="false" customHeight="true" outlineLevel="0" collapsed="false">
      <c r="B23" s="5" t="s">
        <v>23</v>
      </c>
      <c r="C23" s="5"/>
      <c r="D23" s="5"/>
      <c r="E23" s="5"/>
      <c r="F23" s="5"/>
    </row>
    <row r="24" customFormat="false" ht="30" hidden="false" customHeight="true" outlineLevel="0" collapsed="false">
      <c r="B24" s="6" t="s">
        <v>24</v>
      </c>
      <c r="C24" s="6"/>
      <c r="D24" s="6"/>
      <c r="E24" s="6"/>
      <c r="F24" s="6"/>
    </row>
    <row r="25" customFormat="false" ht="30" hidden="false" customHeight="true" outlineLevel="0" collapsed="false">
      <c r="B25" s="6" t="s">
        <v>25</v>
      </c>
      <c r="C25" s="6"/>
      <c r="D25" s="6"/>
      <c r="E25" s="6"/>
      <c r="F25" s="6"/>
    </row>
    <row r="26" customFormat="false" ht="43.5" hidden="false" customHeight="true" outlineLevel="0" collapsed="false">
      <c r="B26" s="6" t="s">
        <v>26</v>
      </c>
      <c r="C26" s="6"/>
      <c r="D26" s="6"/>
      <c r="E26" s="6"/>
      <c r="F26" s="6"/>
    </row>
    <row r="27" customFormat="false" ht="43.5" hidden="false" customHeight="true" outlineLevel="0" collapsed="false">
      <c r="B27" s="6" t="s">
        <v>27</v>
      </c>
      <c r="C27" s="6"/>
      <c r="D27" s="6"/>
      <c r="E27" s="6"/>
      <c r="F27" s="6"/>
    </row>
    <row r="28" customFormat="false" ht="30" hidden="false" customHeight="true" outlineLevel="0" collapsed="false">
      <c r="B28" s="6" t="s">
        <v>28</v>
      </c>
      <c r="C28" s="6"/>
      <c r="D28" s="6"/>
      <c r="E28" s="6"/>
      <c r="F28" s="6"/>
    </row>
    <row r="30" customFormat="false" ht="15" hidden="false" customHeight="false" outlineLevel="0" collapsed="false">
      <c r="B30" s="16" t="s">
        <v>29</v>
      </c>
    </row>
    <row r="31" customFormat="false" ht="15" hidden="false" customHeight="false" outlineLevel="0" collapsed="false">
      <c r="B31" s="16" t="s">
        <v>30</v>
      </c>
    </row>
    <row r="33" customFormat="false" ht="15" hidden="false" customHeight="false" outlineLevel="0" collapsed="false">
      <c r="B33" s="17" t="s">
        <v>31</v>
      </c>
    </row>
  </sheetData>
  <mergeCells count="16">
    <mergeCell ref="A3:F3"/>
    <mergeCell ref="B6:F6"/>
    <mergeCell ref="B7:F7"/>
    <mergeCell ref="B8:F8"/>
    <mergeCell ref="B9:F9"/>
    <mergeCell ref="B10:F10"/>
    <mergeCell ref="B11:F11"/>
    <mergeCell ref="B13:F13"/>
    <mergeCell ref="C16:F16"/>
    <mergeCell ref="B18:F18"/>
    <mergeCell ref="B23:F23"/>
    <mergeCell ref="B24:F24"/>
    <mergeCell ref="B25:F25"/>
    <mergeCell ref="B26:F26"/>
    <mergeCell ref="B27:F27"/>
    <mergeCell ref="B28:F28"/>
  </mergeCells>
  <hyperlinks>
    <hyperlink ref="B30" r:id="rId1" display="Read the full article: The Sunday Problem"/>
    <hyperlink ref="B31" r:id="rId2" display="Need help reading your account? Talk to us about an optimization sprin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3FBE"/>
    <pageSetUpPr fitToPage="true"/>
  </sheetPr>
  <dimension ref="A1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13"/>
    <col collapsed="false" customWidth="true" hidden="false" outlineLevel="0" max="10" min="10" style="0" width="14"/>
    <col collapsed="false" customWidth="true" hidden="false" outlineLevel="0" max="12" min="11" style="0" width="12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32</v>
      </c>
    </row>
    <row r="3" customFormat="false" ht="30" hidden="false" customHeight="true" outlineLevel="0" collapsed="false">
      <c r="A3" s="3" t="s">
        <v>33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6" customFormat="false" ht="31.5" hidden="false" customHeight="true" outlineLevel="0" collapsed="false">
      <c r="A6" s="11" t="s">
        <v>16</v>
      </c>
      <c r="B6" s="11" t="s">
        <v>17</v>
      </c>
      <c r="C6" s="11" t="s">
        <v>18</v>
      </c>
      <c r="D6" s="11" t="s">
        <v>19</v>
      </c>
      <c r="E6" s="11" t="s">
        <v>34</v>
      </c>
      <c r="F6" s="11" t="s">
        <v>35</v>
      </c>
      <c r="G6" s="11" t="s">
        <v>36</v>
      </c>
      <c r="H6" s="11" t="s">
        <v>20</v>
      </c>
      <c r="I6" s="11" t="s">
        <v>37</v>
      </c>
      <c r="J6" s="11" t="s">
        <v>38</v>
      </c>
      <c r="K6" s="11" t="s">
        <v>39</v>
      </c>
      <c r="L6" s="11" t="s">
        <v>40</v>
      </c>
    </row>
    <row r="7" customFormat="false" ht="15" hidden="false" customHeight="false" outlineLevel="0" collapsed="false">
      <c r="A7" s="12" t="s">
        <v>41</v>
      </c>
      <c r="B7" s="13"/>
      <c r="C7" s="14"/>
      <c r="D7" s="13"/>
      <c r="E7" s="13"/>
      <c r="F7" s="13"/>
      <c r="G7" s="18" t="str">
        <f aca="false">IFERROR(D7/B7,"")</f>
        <v/>
      </c>
      <c r="H7" s="15" t="str">
        <f aca="false">IFERROR(C7/D7,"")</f>
        <v/>
      </c>
      <c r="I7" s="19" t="str">
        <f aca="false">IFERROR(H7/$H$14-1,"")</f>
        <v/>
      </c>
      <c r="J7" s="15" t="str">
        <f aca="false">IF(E7="","",IFERROR(C7/E7,""))</f>
        <v/>
      </c>
      <c r="K7" s="18" t="str">
        <f aca="false">IF(OR(E7="",F7=""),"",IFERROR(F7/E7,""))</f>
        <v/>
      </c>
      <c r="L7" s="12" t="str">
        <f aca="false">IF(I7="","",IF(I7&gt;'Start here'!$B$16,"Weak",IF(I7&lt;-'Start here'!$B$16,"Strong","Normal")))</f>
        <v/>
      </c>
    </row>
    <row r="8" customFormat="false" ht="15" hidden="false" customHeight="false" outlineLevel="0" collapsed="false">
      <c r="A8" s="12" t="s">
        <v>42</v>
      </c>
      <c r="B8" s="13"/>
      <c r="C8" s="14"/>
      <c r="D8" s="13"/>
      <c r="E8" s="13"/>
      <c r="F8" s="13"/>
      <c r="G8" s="18" t="str">
        <f aca="false">IFERROR(D8/B8,"")</f>
        <v/>
      </c>
      <c r="H8" s="15" t="str">
        <f aca="false">IFERROR(C8/D8,"")</f>
        <v/>
      </c>
      <c r="I8" s="19" t="str">
        <f aca="false">IFERROR(H8/$H$14-1,"")</f>
        <v/>
      </c>
      <c r="J8" s="15" t="str">
        <f aca="false">IF(E8="","",IFERROR(C8/E8,""))</f>
        <v/>
      </c>
      <c r="K8" s="18" t="str">
        <f aca="false">IF(OR(E8="",F8=""),"",IFERROR(F8/E8,""))</f>
        <v/>
      </c>
      <c r="L8" s="12" t="str">
        <f aca="false">IF(I8="","",IF(I8&gt;'Start here'!$B$16,"Weak",IF(I8&lt;-'Start here'!$B$16,"Strong","Normal")))</f>
        <v/>
      </c>
    </row>
    <row r="9" customFormat="false" ht="15" hidden="false" customHeight="false" outlineLevel="0" collapsed="false">
      <c r="A9" s="12" t="s">
        <v>21</v>
      </c>
      <c r="B9" s="13"/>
      <c r="C9" s="14"/>
      <c r="D9" s="13"/>
      <c r="E9" s="13"/>
      <c r="F9" s="13"/>
      <c r="G9" s="18" t="str">
        <f aca="false">IFERROR(D9/B9,"")</f>
        <v/>
      </c>
      <c r="H9" s="15" t="str">
        <f aca="false">IFERROR(C9/D9,"")</f>
        <v/>
      </c>
      <c r="I9" s="19" t="str">
        <f aca="false">IFERROR(H9/$H$14-1,"")</f>
        <v/>
      </c>
      <c r="J9" s="15" t="str">
        <f aca="false">IF(E9="","",IFERROR(C9/E9,""))</f>
        <v/>
      </c>
      <c r="K9" s="18" t="str">
        <f aca="false">IF(OR(E9="",F9=""),"",IFERROR(F9/E9,""))</f>
        <v/>
      </c>
      <c r="L9" s="12" t="str">
        <f aca="false">IF(I9="","",IF(I9&gt;'Start here'!$B$16,"Weak",IF(I9&lt;-'Start here'!$B$16,"Strong","Normal")))</f>
        <v/>
      </c>
    </row>
    <row r="10" customFormat="false" ht="15" hidden="false" customHeight="false" outlineLevel="0" collapsed="false">
      <c r="A10" s="12" t="s">
        <v>43</v>
      </c>
      <c r="B10" s="13"/>
      <c r="C10" s="14"/>
      <c r="D10" s="13"/>
      <c r="E10" s="13"/>
      <c r="F10" s="13"/>
      <c r="G10" s="18" t="str">
        <f aca="false">IFERROR(D10/B10,"")</f>
        <v/>
      </c>
      <c r="H10" s="15" t="str">
        <f aca="false">IFERROR(C10/D10,"")</f>
        <v/>
      </c>
      <c r="I10" s="19" t="str">
        <f aca="false">IFERROR(H10/$H$14-1,"")</f>
        <v/>
      </c>
      <c r="J10" s="15" t="str">
        <f aca="false">IF(E10="","",IFERROR(C10/E10,""))</f>
        <v/>
      </c>
      <c r="K10" s="18" t="str">
        <f aca="false">IF(OR(E10="",F10=""),"",IFERROR(F10/E10,""))</f>
        <v/>
      </c>
      <c r="L10" s="12" t="str">
        <f aca="false">IF(I10="","",IF(I10&gt;'Start here'!$B$16,"Weak",IF(I10&lt;-'Start here'!$B$16,"Strong","Normal")))</f>
        <v/>
      </c>
    </row>
    <row r="11" customFormat="false" ht="15" hidden="false" customHeight="false" outlineLevel="0" collapsed="false">
      <c r="A11" s="12" t="s">
        <v>44</v>
      </c>
      <c r="B11" s="13"/>
      <c r="C11" s="14"/>
      <c r="D11" s="13"/>
      <c r="E11" s="13"/>
      <c r="F11" s="13"/>
      <c r="G11" s="18" t="str">
        <f aca="false">IFERROR(D11/B11,"")</f>
        <v/>
      </c>
      <c r="H11" s="15" t="str">
        <f aca="false">IFERROR(C11/D11,"")</f>
        <v/>
      </c>
      <c r="I11" s="19" t="str">
        <f aca="false">IFERROR(H11/$H$14-1,"")</f>
        <v/>
      </c>
      <c r="J11" s="15" t="str">
        <f aca="false">IF(E11="","",IFERROR(C11/E11,""))</f>
        <v/>
      </c>
      <c r="K11" s="18" t="str">
        <f aca="false">IF(OR(E11="",F11=""),"",IFERROR(F11/E11,""))</f>
        <v/>
      </c>
      <c r="L11" s="12" t="str">
        <f aca="false">IF(I11="","",IF(I11&gt;'Start here'!$B$16,"Weak",IF(I11&lt;-'Start here'!$B$16,"Strong","Normal")))</f>
        <v/>
      </c>
    </row>
    <row r="12" customFormat="false" ht="15" hidden="false" customHeight="false" outlineLevel="0" collapsed="false">
      <c r="A12" s="12" t="s">
        <v>45</v>
      </c>
      <c r="B12" s="13"/>
      <c r="C12" s="14"/>
      <c r="D12" s="13"/>
      <c r="E12" s="13"/>
      <c r="F12" s="13"/>
      <c r="G12" s="18" t="str">
        <f aca="false">IFERROR(D12/B12,"")</f>
        <v/>
      </c>
      <c r="H12" s="15" t="str">
        <f aca="false">IFERROR(C12/D12,"")</f>
        <v/>
      </c>
      <c r="I12" s="19" t="str">
        <f aca="false">IFERROR(H12/$H$14-1,"")</f>
        <v/>
      </c>
      <c r="J12" s="15" t="str">
        <f aca="false">IF(E12="","",IFERROR(C12/E12,""))</f>
        <v/>
      </c>
      <c r="K12" s="18" t="str">
        <f aca="false">IF(OR(E12="",F12=""),"",IFERROR(F12/E12,""))</f>
        <v/>
      </c>
      <c r="L12" s="12" t="str">
        <f aca="false">IF(I12="","",IF(I12&gt;'Start here'!$B$16,"Weak",IF(I12&lt;-'Start here'!$B$16,"Strong","Normal")))</f>
        <v/>
      </c>
    </row>
    <row r="13" customFormat="false" ht="15" hidden="false" customHeight="false" outlineLevel="0" collapsed="false">
      <c r="A13" s="12" t="s">
        <v>22</v>
      </c>
      <c r="B13" s="13"/>
      <c r="C13" s="14"/>
      <c r="D13" s="13"/>
      <c r="E13" s="13"/>
      <c r="F13" s="13"/>
      <c r="G13" s="18" t="str">
        <f aca="false">IFERROR(D13/B13,"")</f>
        <v/>
      </c>
      <c r="H13" s="15" t="str">
        <f aca="false">IFERROR(C13/D13,"")</f>
        <v/>
      </c>
      <c r="I13" s="19" t="str">
        <f aca="false">IFERROR(H13/$H$14-1,"")</f>
        <v/>
      </c>
      <c r="J13" s="15" t="str">
        <f aca="false">IF(E13="","",IFERROR(C13/E13,""))</f>
        <v/>
      </c>
      <c r="K13" s="18" t="str">
        <f aca="false">IF(OR(E13="",F13=""),"",IFERROR(F13/E13,""))</f>
        <v/>
      </c>
      <c r="L13" s="12" t="str">
        <f aca="false">IF(I13="","",IF(I13&gt;'Start here'!$B$16,"Weak",IF(I13&lt;-'Start here'!$B$16,"Strong","Normal")))</f>
        <v/>
      </c>
    </row>
    <row r="14" customFormat="false" ht="15" hidden="false" customHeight="false" outlineLevel="0" collapsed="false">
      <c r="A14" s="20" t="s">
        <v>46</v>
      </c>
      <c r="B14" s="21" t="str">
        <f aca="false">IF(COUNT(B7:B13)=0,"",SUM(B7:B13))</f>
        <v/>
      </c>
      <c r="C14" s="22" t="str">
        <f aca="false">IF(COUNT(C7:C13)=0,"",SUM(C7:C13))</f>
        <v/>
      </c>
      <c r="D14" s="21" t="str">
        <f aca="false">IF(COUNT(D7:D13)=0,"",SUM(D7:D13))</f>
        <v/>
      </c>
      <c r="E14" s="21" t="str">
        <f aca="false">IF(COUNT(E7:E13)=0,"",SUM(E7:E13))</f>
        <v/>
      </c>
      <c r="F14" s="21" t="str">
        <f aca="false">IF(COUNT(F7:F13)=0,"",SUM(F7:F13))</f>
        <v/>
      </c>
      <c r="G14" s="23" t="str">
        <f aca="false">IFERROR(D14/B14,"")</f>
        <v/>
      </c>
      <c r="H14" s="22" t="str">
        <f aca="false">IFERROR(C14/D14,"")</f>
        <v/>
      </c>
      <c r="I14" s="24"/>
      <c r="J14" s="22" t="str">
        <f aca="false">IF(E14="","",IFERROR(C14/E14,""))</f>
        <v/>
      </c>
      <c r="K14" s="23" t="str">
        <f aca="false">IF(OR(E14="",F14=""),"",IFERROR(F14/E14,""))</f>
        <v/>
      </c>
      <c r="L14" s="24"/>
    </row>
    <row r="16" customFormat="false" ht="15" hidden="false" customHeight="false" outlineLevel="0" collapsed="false">
      <c r="A16" s="25" t="s">
        <v>47</v>
      </c>
    </row>
    <row r="17" customFormat="false" ht="15" hidden="false" customHeight="false" outlineLevel="0" collapsed="false">
      <c r="A17" s="26" t="s">
        <v>48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</row>
    <row r="18" customFormat="false" ht="15" hidden="false" customHeight="false" outlineLevel="0" collapsed="false">
      <c r="A18" s="26" t="s">
        <v>49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</row>
    <row r="19" customFormat="false" ht="15" hidden="false" customHeight="false" outlineLevel="0" collapsed="false">
      <c r="A19" s="26" t="s">
        <v>50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</row>
  </sheetData>
  <mergeCells count="4">
    <mergeCell ref="A3:L3"/>
    <mergeCell ref="A17:L17"/>
    <mergeCell ref="A18:L18"/>
    <mergeCell ref="A19:L19"/>
  </mergeCells>
  <conditionalFormatting sqref="L7:L13">
    <cfRule type="expression" priority="2" aboveAverage="0" equalAverage="0" bottom="0" percent="0" rank="0" text="" dxfId="0">
      <formula>L7="Weak"</formula>
    </cfRule>
    <cfRule type="expression" priority="3" aboveAverage="0" equalAverage="0" bottom="0" percent="0" rank="0" text="" dxfId="1">
      <formula>L7="Strong"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3FBE"/>
    <pageSetUpPr fitToPage="true"/>
  </sheetPr>
  <dimension ref="A1:H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51</v>
      </c>
    </row>
    <row r="3" customFormat="false" ht="30" hidden="false" customHeight="true" outlineLevel="0" collapsed="false">
      <c r="A3" s="3" t="s">
        <v>52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</row>
    <row r="6" customFormat="false" ht="15" hidden="false" customHeight="false" outlineLevel="0" collapsed="false">
      <c r="A6" s="27" t="s">
        <v>53</v>
      </c>
    </row>
    <row r="7" customFormat="false" ht="31.5" hidden="false" customHeight="true" outlineLevel="0" collapsed="false">
      <c r="A7" s="11" t="s">
        <v>54</v>
      </c>
      <c r="B7" s="11" t="s">
        <v>41</v>
      </c>
      <c r="C7" s="11" t="s">
        <v>42</v>
      </c>
      <c r="D7" s="11" t="s">
        <v>21</v>
      </c>
      <c r="E7" s="11" t="s">
        <v>43</v>
      </c>
      <c r="F7" s="11" t="s">
        <v>44</v>
      </c>
      <c r="G7" s="11" t="s">
        <v>45</v>
      </c>
      <c r="H7" s="11" t="s">
        <v>22</v>
      </c>
    </row>
    <row r="8" customFormat="false" ht="15" hidden="false" customHeight="false" outlineLevel="0" collapsed="false">
      <c r="A8" s="12" t="s">
        <v>55</v>
      </c>
      <c r="B8" s="14"/>
      <c r="C8" s="14"/>
      <c r="D8" s="14"/>
      <c r="E8" s="14"/>
      <c r="F8" s="14"/>
      <c r="G8" s="14"/>
      <c r="H8" s="14"/>
    </row>
    <row r="9" customFormat="false" ht="15" hidden="false" customHeight="false" outlineLevel="0" collapsed="false">
      <c r="A9" s="12" t="s">
        <v>56</v>
      </c>
      <c r="B9" s="14"/>
      <c r="C9" s="14"/>
      <c r="D9" s="14"/>
      <c r="E9" s="14"/>
      <c r="F9" s="14"/>
      <c r="G9" s="14"/>
      <c r="H9" s="14"/>
    </row>
    <row r="10" customFormat="false" ht="15" hidden="false" customHeight="false" outlineLevel="0" collapsed="false">
      <c r="A10" s="12" t="s">
        <v>57</v>
      </c>
      <c r="B10" s="14"/>
      <c r="C10" s="14"/>
      <c r="D10" s="14"/>
      <c r="E10" s="14"/>
      <c r="F10" s="14"/>
      <c r="G10" s="14"/>
      <c r="H10" s="14"/>
    </row>
    <row r="11" customFormat="false" ht="15" hidden="false" customHeight="false" outlineLevel="0" collapsed="false">
      <c r="A11" s="12" t="s">
        <v>58</v>
      </c>
      <c r="B11" s="14"/>
      <c r="C11" s="14"/>
      <c r="D11" s="14"/>
      <c r="E11" s="14"/>
      <c r="F11" s="14"/>
      <c r="G11" s="14"/>
      <c r="H11" s="14"/>
    </row>
    <row r="12" customFormat="false" ht="15" hidden="false" customHeight="false" outlineLevel="0" collapsed="false">
      <c r="A12" s="12" t="s">
        <v>59</v>
      </c>
      <c r="B12" s="14"/>
      <c r="C12" s="14"/>
      <c r="D12" s="14"/>
      <c r="E12" s="14"/>
      <c r="F12" s="14"/>
      <c r="G12" s="14"/>
      <c r="H12" s="14"/>
    </row>
    <row r="13" customFormat="false" ht="15" hidden="false" customHeight="false" outlineLevel="0" collapsed="false">
      <c r="A13" s="12" t="s">
        <v>60</v>
      </c>
      <c r="B13" s="14"/>
      <c r="C13" s="14"/>
      <c r="D13" s="14"/>
      <c r="E13" s="14"/>
      <c r="F13" s="14"/>
      <c r="G13" s="14"/>
      <c r="H13" s="14"/>
    </row>
    <row r="14" customFormat="false" ht="15" hidden="false" customHeight="false" outlineLevel="0" collapsed="false">
      <c r="A14" s="12" t="s">
        <v>61</v>
      </c>
      <c r="B14" s="14"/>
      <c r="C14" s="14"/>
      <c r="D14" s="14"/>
      <c r="E14" s="14"/>
      <c r="F14" s="14"/>
      <c r="G14" s="14"/>
      <c r="H14" s="14"/>
    </row>
    <row r="15" customFormat="false" ht="15" hidden="false" customHeight="false" outlineLevel="0" collapsed="false">
      <c r="A15" s="12" t="s">
        <v>62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false" outlineLevel="0" collapsed="false">
      <c r="A16" s="12" t="s">
        <v>63</v>
      </c>
      <c r="B16" s="14"/>
      <c r="C16" s="14"/>
      <c r="D16" s="14"/>
      <c r="E16" s="14"/>
      <c r="F16" s="14"/>
      <c r="G16" s="14"/>
      <c r="H16" s="14"/>
    </row>
    <row r="17" customFormat="false" ht="15" hidden="false" customHeight="false" outlineLevel="0" collapsed="false">
      <c r="A17" s="12" t="s">
        <v>64</v>
      </c>
      <c r="B17" s="14"/>
      <c r="C17" s="14"/>
      <c r="D17" s="14"/>
      <c r="E17" s="14"/>
      <c r="F17" s="14"/>
      <c r="G17" s="14"/>
      <c r="H17" s="14"/>
    </row>
    <row r="18" customFormat="false" ht="15" hidden="false" customHeight="false" outlineLevel="0" collapsed="false">
      <c r="A18" s="12" t="s">
        <v>65</v>
      </c>
      <c r="B18" s="14"/>
      <c r="C18" s="14"/>
      <c r="D18" s="14"/>
      <c r="E18" s="14"/>
      <c r="F18" s="14"/>
      <c r="G18" s="14"/>
      <c r="H18" s="14"/>
    </row>
    <row r="19" customFormat="false" ht="15" hidden="false" customHeight="false" outlineLevel="0" collapsed="false">
      <c r="A19" s="12" t="s">
        <v>66</v>
      </c>
      <c r="B19" s="14"/>
      <c r="C19" s="14"/>
      <c r="D19" s="14"/>
      <c r="E19" s="14"/>
      <c r="F19" s="14"/>
      <c r="G19" s="14"/>
      <c r="H19" s="14"/>
    </row>
    <row r="22" customFormat="false" ht="15" hidden="false" customHeight="false" outlineLevel="0" collapsed="false">
      <c r="A22" s="27" t="s">
        <v>67</v>
      </c>
    </row>
    <row r="23" customFormat="false" ht="31.5" hidden="false" customHeight="true" outlineLevel="0" collapsed="false">
      <c r="A23" s="11" t="s">
        <v>54</v>
      </c>
      <c r="B23" s="11" t="s">
        <v>41</v>
      </c>
      <c r="C23" s="11" t="s">
        <v>42</v>
      </c>
      <c r="D23" s="11" t="s">
        <v>21</v>
      </c>
      <c r="E23" s="11" t="s">
        <v>43</v>
      </c>
      <c r="F23" s="11" t="s">
        <v>44</v>
      </c>
      <c r="G23" s="11" t="s">
        <v>45</v>
      </c>
      <c r="H23" s="11" t="s">
        <v>22</v>
      </c>
    </row>
    <row r="24" customFormat="false" ht="15" hidden="false" customHeight="false" outlineLevel="0" collapsed="false">
      <c r="A24" s="12" t="s">
        <v>55</v>
      </c>
      <c r="B24" s="13"/>
      <c r="C24" s="13"/>
      <c r="D24" s="13"/>
      <c r="E24" s="13"/>
      <c r="F24" s="13"/>
      <c r="G24" s="13"/>
      <c r="H24" s="13"/>
    </row>
    <row r="25" customFormat="false" ht="15" hidden="false" customHeight="false" outlineLevel="0" collapsed="false">
      <c r="A25" s="12" t="s">
        <v>56</v>
      </c>
      <c r="B25" s="13"/>
      <c r="C25" s="1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12" t="s">
        <v>57</v>
      </c>
      <c r="B26" s="13"/>
      <c r="C26" s="1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12" t="s">
        <v>58</v>
      </c>
      <c r="B27" s="13"/>
      <c r="C27" s="1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12" t="s">
        <v>59</v>
      </c>
      <c r="B28" s="13"/>
      <c r="C28" s="13"/>
      <c r="D28" s="13"/>
      <c r="E28" s="13"/>
      <c r="F28" s="13"/>
      <c r="G28" s="13"/>
      <c r="H28" s="13"/>
    </row>
    <row r="29" customFormat="false" ht="15" hidden="false" customHeight="false" outlineLevel="0" collapsed="false">
      <c r="A29" s="12" t="s">
        <v>60</v>
      </c>
      <c r="B29" s="13"/>
      <c r="C29" s="13"/>
      <c r="D29" s="13"/>
      <c r="E29" s="13"/>
      <c r="F29" s="13"/>
      <c r="G29" s="13"/>
      <c r="H29" s="13"/>
    </row>
    <row r="30" customFormat="false" ht="15" hidden="false" customHeight="false" outlineLevel="0" collapsed="false">
      <c r="A30" s="12" t="s">
        <v>61</v>
      </c>
      <c r="B30" s="13"/>
      <c r="C30" s="13"/>
      <c r="D30" s="13"/>
      <c r="E30" s="13"/>
      <c r="F30" s="13"/>
      <c r="G30" s="13"/>
      <c r="H30" s="13"/>
    </row>
    <row r="31" customFormat="false" ht="15" hidden="false" customHeight="false" outlineLevel="0" collapsed="false">
      <c r="A31" s="12" t="s">
        <v>62</v>
      </c>
      <c r="B31" s="13"/>
      <c r="C31" s="13"/>
      <c r="D31" s="13"/>
      <c r="E31" s="13"/>
      <c r="F31" s="13"/>
      <c r="G31" s="13"/>
      <c r="H31" s="13"/>
    </row>
    <row r="32" customFormat="false" ht="15" hidden="false" customHeight="false" outlineLevel="0" collapsed="false">
      <c r="A32" s="12" t="s">
        <v>63</v>
      </c>
      <c r="B32" s="13"/>
      <c r="C32" s="13"/>
      <c r="D32" s="13"/>
      <c r="E32" s="13"/>
      <c r="F32" s="13"/>
      <c r="G32" s="13"/>
      <c r="H32" s="13"/>
    </row>
    <row r="33" customFormat="false" ht="15" hidden="false" customHeight="false" outlineLevel="0" collapsed="false">
      <c r="A33" s="12" t="s">
        <v>64</v>
      </c>
      <c r="B33" s="13"/>
      <c r="C33" s="13"/>
      <c r="D33" s="13"/>
      <c r="E33" s="13"/>
      <c r="F33" s="13"/>
      <c r="G33" s="13"/>
      <c r="H33" s="13"/>
    </row>
    <row r="34" customFormat="false" ht="15" hidden="false" customHeight="false" outlineLevel="0" collapsed="false">
      <c r="A34" s="12" t="s">
        <v>65</v>
      </c>
      <c r="B34" s="13"/>
      <c r="C34" s="13"/>
      <c r="D34" s="13"/>
      <c r="E34" s="13"/>
      <c r="F34" s="13"/>
      <c r="G34" s="13"/>
      <c r="H34" s="13"/>
    </row>
    <row r="35" customFormat="false" ht="15" hidden="false" customHeight="false" outlineLevel="0" collapsed="false">
      <c r="A35" s="12" t="s">
        <v>66</v>
      </c>
      <c r="B35" s="13"/>
      <c r="C35" s="13"/>
      <c r="D35" s="13"/>
      <c r="E35" s="13"/>
      <c r="F35" s="13"/>
      <c r="G35" s="13"/>
      <c r="H35" s="13"/>
    </row>
    <row r="38" customFormat="false" ht="15" hidden="false" customHeight="false" outlineLevel="0" collapsed="false">
      <c r="A38" s="27" t="s">
        <v>68</v>
      </c>
    </row>
    <row r="39" customFormat="false" ht="31.5" hidden="false" customHeight="true" outlineLevel="0" collapsed="false">
      <c r="A39" s="11" t="s">
        <v>54</v>
      </c>
      <c r="B39" s="11" t="s">
        <v>41</v>
      </c>
      <c r="C39" s="11" t="s">
        <v>42</v>
      </c>
      <c r="D39" s="11" t="s">
        <v>21</v>
      </c>
      <c r="E39" s="11" t="s">
        <v>43</v>
      </c>
      <c r="F39" s="11" t="s">
        <v>44</v>
      </c>
      <c r="G39" s="11" t="s">
        <v>45</v>
      </c>
      <c r="H39" s="11" t="s">
        <v>22</v>
      </c>
    </row>
    <row r="40" customFormat="false" ht="15" hidden="false" customHeight="false" outlineLevel="0" collapsed="false">
      <c r="A40" s="12" t="s">
        <v>55</v>
      </c>
      <c r="B40" s="15" t="str">
        <f aca="false">IF(OR(B8="",B24="",B24=0),"",B8/B24)</f>
        <v/>
      </c>
      <c r="C40" s="15" t="str">
        <f aca="false">IF(OR(C8="",C24="",C24=0),"",C8/C24)</f>
        <v/>
      </c>
      <c r="D40" s="15" t="str">
        <f aca="false">IF(OR(D8="",D24="",D24=0),"",D8/D24)</f>
        <v/>
      </c>
      <c r="E40" s="15" t="str">
        <f aca="false">IF(OR(E8="",E24="",E24=0),"",E8/E24)</f>
        <v/>
      </c>
      <c r="F40" s="15" t="str">
        <f aca="false">IF(OR(F8="",F24="",F24=0),"",F8/F24)</f>
        <v/>
      </c>
      <c r="G40" s="15" t="str">
        <f aca="false">IF(OR(G8="",G24="",G24=0),"",G8/G24)</f>
        <v/>
      </c>
      <c r="H40" s="15" t="str">
        <f aca="false">IF(OR(H8="",H24="",H24=0),"",H8/H24)</f>
        <v/>
      </c>
    </row>
    <row r="41" customFormat="false" ht="15" hidden="false" customHeight="false" outlineLevel="0" collapsed="false">
      <c r="A41" s="12" t="s">
        <v>56</v>
      </c>
      <c r="B41" s="15" t="str">
        <f aca="false">IF(OR(B9="",B25="",B25=0),"",B9/B25)</f>
        <v/>
      </c>
      <c r="C41" s="15" t="str">
        <f aca="false">IF(OR(C9="",C25="",C25=0),"",C9/C25)</f>
        <v/>
      </c>
      <c r="D41" s="15" t="str">
        <f aca="false">IF(OR(D9="",D25="",D25=0),"",D9/D25)</f>
        <v/>
      </c>
      <c r="E41" s="15" t="str">
        <f aca="false">IF(OR(E9="",E25="",E25=0),"",E9/E25)</f>
        <v/>
      </c>
      <c r="F41" s="15" t="str">
        <f aca="false">IF(OR(F9="",F25="",F25=0),"",F9/F25)</f>
        <v/>
      </c>
      <c r="G41" s="15" t="str">
        <f aca="false">IF(OR(G9="",G25="",G25=0),"",G9/G25)</f>
        <v/>
      </c>
      <c r="H41" s="15" t="str">
        <f aca="false">IF(OR(H9="",H25="",H25=0),"",H9/H25)</f>
        <v/>
      </c>
    </row>
    <row r="42" customFormat="false" ht="15" hidden="false" customHeight="false" outlineLevel="0" collapsed="false">
      <c r="A42" s="12" t="s">
        <v>57</v>
      </c>
      <c r="B42" s="15" t="str">
        <f aca="false">IF(OR(B10="",B26="",B26=0),"",B10/B26)</f>
        <v/>
      </c>
      <c r="C42" s="15" t="str">
        <f aca="false">IF(OR(C10="",C26="",C26=0),"",C10/C26)</f>
        <v/>
      </c>
      <c r="D42" s="15" t="str">
        <f aca="false">IF(OR(D10="",D26="",D26=0),"",D10/D26)</f>
        <v/>
      </c>
      <c r="E42" s="15" t="str">
        <f aca="false">IF(OR(E10="",E26="",E26=0),"",E10/E26)</f>
        <v/>
      </c>
      <c r="F42" s="15" t="str">
        <f aca="false">IF(OR(F10="",F26="",F26=0),"",F10/F26)</f>
        <v/>
      </c>
      <c r="G42" s="15" t="str">
        <f aca="false">IF(OR(G10="",G26="",G26=0),"",G10/G26)</f>
        <v/>
      </c>
      <c r="H42" s="15" t="str">
        <f aca="false">IF(OR(H10="",H26="",H26=0),"",H10/H26)</f>
        <v/>
      </c>
    </row>
    <row r="43" customFormat="false" ht="15" hidden="false" customHeight="false" outlineLevel="0" collapsed="false">
      <c r="A43" s="12" t="s">
        <v>58</v>
      </c>
      <c r="B43" s="15" t="str">
        <f aca="false">IF(OR(B11="",B27="",B27=0),"",B11/B27)</f>
        <v/>
      </c>
      <c r="C43" s="15" t="str">
        <f aca="false">IF(OR(C11="",C27="",C27=0),"",C11/C27)</f>
        <v/>
      </c>
      <c r="D43" s="15" t="str">
        <f aca="false">IF(OR(D11="",D27="",D27=0),"",D11/D27)</f>
        <v/>
      </c>
      <c r="E43" s="15" t="str">
        <f aca="false">IF(OR(E11="",E27="",E27=0),"",E11/E27)</f>
        <v/>
      </c>
      <c r="F43" s="15" t="str">
        <f aca="false">IF(OR(F11="",F27="",F27=0),"",F11/F27)</f>
        <v/>
      </c>
      <c r="G43" s="15" t="str">
        <f aca="false">IF(OR(G11="",G27="",G27=0),"",G11/G27)</f>
        <v/>
      </c>
      <c r="H43" s="15" t="str">
        <f aca="false">IF(OR(H11="",H27="",H27=0),"",H11/H27)</f>
        <v/>
      </c>
    </row>
    <row r="44" customFormat="false" ht="15" hidden="false" customHeight="false" outlineLevel="0" collapsed="false">
      <c r="A44" s="12" t="s">
        <v>59</v>
      </c>
      <c r="B44" s="15" t="str">
        <f aca="false">IF(OR(B12="",B28="",B28=0),"",B12/B28)</f>
        <v/>
      </c>
      <c r="C44" s="15" t="str">
        <f aca="false">IF(OR(C12="",C28="",C28=0),"",C12/C28)</f>
        <v/>
      </c>
      <c r="D44" s="15" t="str">
        <f aca="false">IF(OR(D12="",D28="",D28=0),"",D12/D28)</f>
        <v/>
      </c>
      <c r="E44" s="15" t="str">
        <f aca="false">IF(OR(E12="",E28="",E28=0),"",E12/E28)</f>
        <v/>
      </c>
      <c r="F44" s="15" t="str">
        <f aca="false">IF(OR(F12="",F28="",F28=0),"",F12/F28)</f>
        <v/>
      </c>
      <c r="G44" s="15" t="str">
        <f aca="false">IF(OR(G12="",G28="",G28=0),"",G12/G28)</f>
        <v/>
      </c>
      <c r="H44" s="15" t="str">
        <f aca="false">IF(OR(H12="",H28="",H28=0),"",H12/H28)</f>
        <v/>
      </c>
    </row>
    <row r="45" customFormat="false" ht="15" hidden="false" customHeight="false" outlineLevel="0" collapsed="false">
      <c r="A45" s="12" t="s">
        <v>60</v>
      </c>
      <c r="B45" s="15" t="str">
        <f aca="false">IF(OR(B13="",B29="",B29=0),"",B13/B29)</f>
        <v/>
      </c>
      <c r="C45" s="15" t="str">
        <f aca="false">IF(OR(C13="",C29="",C29=0),"",C13/C29)</f>
        <v/>
      </c>
      <c r="D45" s="15" t="str">
        <f aca="false">IF(OR(D13="",D29="",D29=0),"",D13/D29)</f>
        <v/>
      </c>
      <c r="E45" s="15" t="str">
        <f aca="false">IF(OR(E13="",E29="",E29=0),"",E13/E29)</f>
        <v/>
      </c>
      <c r="F45" s="15" t="str">
        <f aca="false">IF(OR(F13="",F29="",F29=0),"",F13/F29)</f>
        <v/>
      </c>
      <c r="G45" s="15" t="str">
        <f aca="false">IF(OR(G13="",G29="",G29=0),"",G13/G29)</f>
        <v/>
      </c>
      <c r="H45" s="15" t="str">
        <f aca="false">IF(OR(H13="",H29="",H29=0),"",H13/H29)</f>
        <v/>
      </c>
    </row>
    <row r="46" customFormat="false" ht="15" hidden="false" customHeight="false" outlineLevel="0" collapsed="false">
      <c r="A46" s="12" t="s">
        <v>61</v>
      </c>
      <c r="B46" s="15" t="str">
        <f aca="false">IF(OR(B14="",B30="",B30=0),"",B14/B30)</f>
        <v/>
      </c>
      <c r="C46" s="15" t="str">
        <f aca="false">IF(OR(C14="",C30="",C30=0),"",C14/C30)</f>
        <v/>
      </c>
      <c r="D46" s="15" t="str">
        <f aca="false">IF(OR(D14="",D30="",D30=0),"",D14/D30)</f>
        <v/>
      </c>
      <c r="E46" s="15" t="str">
        <f aca="false">IF(OR(E14="",E30="",E30=0),"",E14/E30)</f>
        <v/>
      </c>
      <c r="F46" s="15" t="str">
        <f aca="false">IF(OR(F14="",F30="",F30=0),"",F14/F30)</f>
        <v/>
      </c>
      <c r="G46" s="15" t="str">
        <f aca="false">IF(OR(G14="",G30="",G30=0),"",G14/G30)</f>
        <v/>
      </c>
      <c r="H46" s="15" t="str">
        <f aca="false">IF(OR(H14="",H30="",H30=0),"",H14/H30)</f>
        <v/>
      </c>
    </row>
    <row r="47" customFormat="false" ht="15" hidden="false" customHeight="false" outlineLevel="0" collapsed="false">
      <c r="A47" s="12" t="s">
        <v>62</v>
      </c>
      <c r="B47" s="15" t="str">
        <f aca="false">IF(OR(B15="",B31="",B31=0),"",B15/B31)</f>
        <v/>
      </c>
      <c r="C47" s="15" t="str">
        <f aca="false">IF(OR(C15="",C31="",C31=0),"",C15/C31)</f>
        <v/>
      </c>
      <c r="D47" s="15" t="str">
        <f aca="false">IF(OR(D15="",D31="",D31=0),"",D15/D31)</f>
        <v/>
      </c>
      <c r="E47" s="15" t="str">
        <f aca="false">IF(OR(E15="",E31="",E31=0),"",E15/E31)</f>
        <v/>
      </c>
      <c r="F47" s="15" t="str">
        <f aca="false">IF(OR(F15="",F31="",F31=0),"",F15/F31)</f>
        <v/>
      </c>
      <c r="G47" s="15" t="str">
        <f aca="false">IF(OR(G15="",G31="",G31=0),"",G15/G31)</f>
        <v/>
      </c>
      <c r="H47" s="15" t="str">
        <f aca="false">IF(OR(H15="",H31="",H31=0),"",H15/H31)</f>
        <v/>
      </c>
    </row>
    <row r="48" customFormat="false" ht="15" hidden="false" customHeight="false" outlineLevel="0" collapsed="false">
      <c r="A48" s="12" t="s">
        <v>63</v>
      </c>
      <c r="B48" s="15" t="str">
        <f aca="false">IF(OR(B16="",B32="",B32=0),"",B16/B32)</f>
        <v/>
      </c>
      <c r="C48" s="15" t="str">
        <f aca="false">IF(OR(C16="",C32="",C32=0),"",C16/C32)</f>
        <v/>
      </c>
      <c r="D48" s="15" t="str">
        <f aca="false">IF(OR(D16="",D32="",D32=0),"",D16/D32)</f>
        <v/>
      </c>
      <c r="E48" s="15" t="str">
        <f aca="false">IF(OR(E16="",E32="",E32=0),"",E16/E32)</f>
        <v/>
      </c>
      <c r="F48" s="15" t="str">
        <f aca="false">IF(OR(F16="",F32="",F32=0),"",F16/F32)</f>
        <v/>
      </c>
      <c r="G48" s="15" t="str">
        <f aca="false">IF(OR(G16="",G32="",G32=0),"",G16/G32)</f>
        <v/>
      </c>
      <c r="H48" s="15" t="str">
        <f aca="false">IF(OR(H16="",H32="",H32=0),"",H16/H32)</f>
        <v/>
      </c>
    </row>
    <row r="49" customFormat="false" ht="15" hidden="false" customHeight="false" outlineLevel="0" collapsed="false">
      <c r="A49" s="12" t="s">
        <v>64</v>
      </c>
      <c r="B49" s="15" t="str">
        <f aca="false">IF(OR(B17="",B33="",B33=0),"",B17/B33)</f>
        <v/>
      </c>
      <c r="C49" s="15" t="str">
        <f aca="false">IF(OR(C17="",C33="",C33=0),"",C17/C33)</f>
        <v/>
      </c>
      <c r="D49" s="15" t="str">
        <f aca="false">IF(OR(D17="",D33="",D33=0),"",D17/D33)</f>
        <v/>
      </c>
      <c r="E49" s="15" t="str">
        <f aca="false">IF(OR(E17="",E33="",E33=0),"",E17/E33)</f>
        <v/>
      </c>
      <c r="F49" s="15" t="str">
        <f aca="false">IF(OR(F17="",F33="",F33=0),"",F17/F33)</f>
        <v/>
      </c>
      <c r="G49" s="15" t="str">
        <f aca="false">IF(OR(G17="",G33="",G33=0),"",G17/G33)</f>
        <v/>
      </c>
      <c r="H49" s="15" t="str">
        <f aca="false">IF(OR(H17="",H33="",H33=0),"",H17/H33)</f>
        <v/>
      </c>
    </row>
    <row r="50" customFormat="false" ht="15" hidden="false" customHeight="false" outlineLevel="0" collapsed="false">
      <c r="A50" s="12" t="s">
        <v>65</v>
      </c>
      <c r="B50" s="15" t="str">
        <f aca="false">IF(OR(B18="",B34="",B34=0),"",B18/B34)</f>
        <v/>
      </c>
      <c r="C50" s="15" t="str">
        <f aca="false">IF(OR(C18="",C34="",C34=0),"",C18/C34)</f>
        <v/>
      </c>
      <c r="D50" s="15" t="str">
        <f aca="false">IF(OR(D18="",D34="",D34=0),"",D18/D34)</f>
        <v/>
      </c>
      <c r="E50" s="15" t="str">
        <f aca="false">IF(OR(E18="",E34="",E34=0),"",E18/E34)</f>
        <v/>
      </c>
      <c r="F50" s="15" t="str">
        <f aca="false">IF(OR(F18="",F34="",F34=0),"",F18/F34)</f>
        <v/>
      </c>
      <c r="G50" s="15" t="str">
        <f aca="false">IF(OR(G18="",G34="",G34=0),"",G18/G34)</f>
        <v/>
      </c>
      <c r="H50" s="15" t="str">
        <f aca="false">IF(OR(H18="",H34="",H34=0),"",H18/H34)</f>
        <v/>
      </c>
    </row>
    <row r="51" customFormat="false" ht="15" hidden="false" customHeight="false" outlineLevel="0" collapsed="false">
      <c r="A51" s="12" t="s">
        <v>66</v>
      </c>
      <c r="B51" s="15" t="str">
        <f aca="false">IF(OR(B19="",B35="",B35=0),"",B19/B35)</f>
        <v/>
      </c>
      <c r="C51" s="15" t="str">
        <f aca="false">IF(OR(C19="",C35="",C35=0),"",C19/C35)</f>
        <v/>
      </c>
      <c r="D51" s="15" t="str">
        <f aca="false">IF(OR(D19="",D35="",D35=0),"",D19/D35)</f>
        <v/>
      </c>
      <c r="E51" s="15" t="str">
        <f aca="false">IF(OR(E19="",E35="",E35=0),"",E19/E35)</f>
        <v/>
      </c>
      <c r="F51" s="15" t="str">
        <f aca="false">IF(OR(F19="",F35="",F35=0),"",F19/F35)</f>
        <v/>
      </c>
      <c r="G51" s="15" t="str">
        <f aca="false">IF(OR(G19="",G35="",G35=0),"",G19/G35)</f>
        <v/>
      </c>
      <c r="H51" s="15" t="str">
        <f aca="false">IF(OR(H19="",H35="",H35=0),"",H19/H35)</f>
        <v/>
      </c>
    </row>
    <row r="54" customFormat="false" ht="15" hidden="false" customHeight="false" outlineLevel="0" collapsed="false">
      <c r="A54" s="27" t="s">
        <v>69</v>
      </c>
    </row>
    <row r="55" customFormat="false" ht="31.5" hidden="false" customHeight="true" outlineLevel="0" collapsed="false">
      <c r="A55" s="11" t="s">
        <v>54</v>
      </c>
      <c r="B55" s="11" t="s">
        <v>41</v>
      </c>
      <c r="C55" s="11" t="s">
        <v>42</v>
      </c>
      <c r="D55" s="11" t="s">
        <v>21</v>
      </c>
      <c r="E55" s="11" t="s">
        <v>43</v>
      </c>
      <c r="F55" s="11" t="s">
        <v>44</v>
      </c>
      <c r="G55" s="11" t="s">
        <v>45</v>
      </c>
      <c r="H55" s="11" t="s">
        <v>22</v>
      </c>
    </row>
    <row r="56" customFormat="false" ht="15" hidden="false" customHeight="false" outlineLevel="0" collapsed="false">
      <c r="A56" s="12" t="s">
        <v>55</v>
      </c>
      <c r="B56" s="28" t="str">
        <f aca="false">IF(B40="","",IF(COUNT($B40:$H40)&lt;2,"",IF(B40=MAX($B40:$H40),"Costliest",IF(B40=MIN($B40:$H40),"Cheapest",""))))</f>
        <v/>
      </c>
      <c r="C56" s="28" t="str">
        <f aca="false">IF(C40="","",IF(COUNT($B40:$H40)&lt;2,"",IF(C40=MAX($B40:$H40),"Costliest",IF(C40=MIN($B40:$H40),"Cheapest",""))))</f>
        <v/>
      </c>
      <c r="D56" s="28" t="str">
        <f aca="false">IF(D40="","",IF(COUNT($B40:$H40)&lt;2,"",IF(D40=MAX($B40:$H40),"Costliest",IF(D40=MIN($B40:$H40),"Cheapest",""))))</f>
        <v/>
      </c>
      <c r="E56" s="28" t="str">
        <f aca="false">IF(E40="","",IF(COUNT($B40:$H40)&lt;2,"",IF(E40=MAX($B40:$H40),"Costliest",IF(E40=MIN($B40:$H40),"Cheapest",""))))</f>
        <v/>
      </c>
      <c r="F56" s="28" t="str">
        <f aca="false">IF(F40="","",IF(COUNT($B40:$H40)&lt;2,"",IF(F40=MAX($B40:$H40),"Costliest",IF(F40=MIN($B40:$H40),"Cheapest",""))))</f>
        <v/>
      </c>
      <c r="G56" s="28" t="str">
        <f aca="false">IF(G40="","",IF(COUNT($B40:$H40)&lt;2,"",IF(G40=MAX($B40:$H40),"Costliest",IF(G40=MIN($B40:$H40),"Cheapest",""))))</f>
        <v/>
      </c>
      <c r="H56" s="28" t="str">
        <f aca="false">IF(H40="","",IF(COUNT($B40:$H40)&lt;2,"",IF(H40=MAX($B40:$H40),"Costliest",IF(H40=MIN($B40:$H40),"Cheapest",""))))</f>
        <v/>
      </c>
    </row>
    <row r="57" customFormat="false" ht="15" hidden="false" customHeight="false" outlineLevel="0" collapsed="false">
      <c r="A57" s="12" t="s">
        <v>56</v>
      </c>
      <c r="B57" s="28" t="str">
        <f aca="false">IF(B41="","",IF(COUNT($B41:$H41)&lt;2,"",IF(B41=MAX($B41:$H41),"Costliest",IF(B41=MIN($B41:$H41),"Cheapest",""))))</f>
        <v/>
      </c>
      <c r="C57" s="28" t="str">
        <f aca="false">IF(C41="","",IF(COUNT($B41:$H41)&lt;2,"",IF(C41=MAX($B41:$H41),"Costliest",IF(C41=MIN($B41:$H41),"Cheapest",""))))</f>
        <v/>
      </c>
      <c r="D57" s="28" t="str">
        <f aca="false">IF(D41="","",IF(COUNT($B41:$H41)&lt;2,"",IF(D41=MAX($B41:$H41),"Costliest",IF(D41=MIN($B41:$H41),"Cheapest",""))))</f>
        <v/>
      </c>
      <c r="E57" s="28" t="str">
        <f aca="false">IF(E41="","",IF(COUNT($B41:$H41)&lt;2,"",IF(E41=MAX($B41:$H41),"Costliest",IF(E41=MIN($B41:$H41),"Cheapest",""))))</f>
        <v/>
      </c>
      <c r="F57" s="28" t="str">
        <f aca="false">IF(F41="","",IF(COUNT($B41:$H41)&lt;2,"",IF(F41=MAX($B41:$H41),"Costliest",IF(F41=MIN($B41:$H41),"Cheapest",""))))</f>
        <v/>
      </c>
      <c r="G57" s="28" t="str">
        <f aca="false">IF(G41="","",IF(COUNT($B41:$H41)&lt;2,"",IF(G41=MAX($B41:$H41),"Costliest",IF(G41=MIN($B41:$H41),"Cheapest",""))))</f>
        <v/>
      </c>
      <c r="H57" s="28" t="str">
        <f aca="false">IF(H41="","",IF(COUNT($B41:$H41)&lt;2,"",IF(H41=MAX($B41:$H41),"Costliest",IF(H41=MIN($B41:$H41),"Cheapest",""))))</f>
        <v/>
      </c>
    </row>
    <row r="58" customFormat="false" ht="15" hidden="false" customHeight="false" outlineLevel="0" collapsed="false">
      <c r="A58" s="12" t="s">
        <v>57</v>
      </c>
      <c r="B58" s="28" t="str">
        <f aca="false">IF(B42="","",IF(COUNT($B42:$H42)&lt;2,"",IF(B42=MAX($B42:$H42),"Costliest",IF(B42=MIN($B42:$H42),"Cheapest",""))))</f>
        <v/>
      </c>
      <c r="C58" s="28" t="str">
        <f aca="false">IF(C42="","",IF(COUNT($B42:$H42)&lt;2,"",IF(C42=MAX($B42:$H42),"Costliest",IF(C42=MIN($B42:$H42),"Cheapest",""))))</f>
        <v/>
      </c>
      <c r="D58" s="28" t="str">
        <f aca="false">IF(D42="","",IF(COUNT($B42:$H42)&lt;2,"",IF(D42=MAX($B42:$H42),"Costliest",IF(D42=MIN($B42:$H42),"Cheapest",""))))</f>
        <v/>
      </c>
      <c r="E58" s="28" t="str">
        <f aca="false">IF(E42="","",IF(COUNT($B42:$H42)&lt;2,"",IF(E42=MAX($B42:$H42),"Costliest",IF(E42=MIN($B42:$H42),"Cheapest",""))))</f>
        <v/>
      </c>
      <c r="F58" s="28" t="str">
        <f aca="false">IF(F42="","",IF(COUNT($B42:$H42)&lt;2,"",IF(F42=MAX($B42:$H42),"Costliest",IF(F42=MIN($B42:$H42),"Cheapest",""))))</f>
        <v/>
      </c>
      <c r="G58" s="28" t="str">
        <f aca="false">IF(G42="","",IF(COUNT($B42:$H42)&lt;2,"",IF(G42=MAX($B42:$H42),"Costliest",IF(G42=MIN($B42:$H42),"Cheapest",""))))</f>
        <v/>
      </c>
      <c r="H58" s="28" t="str">
        <f aca="false">IF(H42="","",IF(COUNT($B42:$H42)&lt;2,"",IF(H42=MAX($B42:$H42),"Costliest",IF(H42=MIN($B42:$H42),"Cheapest",""))))</f>
        <v/>
      </c>
    </row>
    <row r="59" customFormat="false" ht="15" hidden="false" customHeight="false" outlineLevel="0" collapsed="false">
      <c r="A59" s="12" t="s">
        <v>58</v>
      </c>
      <c r="B59" s="28" t="str">
        <f aca="false">IF(B43="","",IF(COUNT($B43:$H43)&lt;2,"",IF(B43=MAX($B43:$H43),"Costliest",IF(B43=MIN($B43:$H43),"Cheapest",""))))</f>
        <v/>
      </c>
      <c r="C59" s="28" t="str">
        <f aca="false">IF(C43="","",IF(COUNT($B43:$H43)&lt;2,"",IF(C43=MAX($B43:$H43),"Costliest",IF(C43=MIN($B43:$H43),"Cheapest",""))))</f>
        <v/>
      </c>
      <c r="D59" s="28" t="str">
        <f aca="false">IF(D43="","",IF(COUNT($B43:$H43)&lt;2,"",IF(D43=MAX($B43:$H43),"Costliest",IF(D43=MIN($B43:$H43),"Cheapest",""))))</f>
        <v/>
      </c>
      <c r="E59" s="28" t="str">
        <f aca="false">IF(E43="","",IF(COUNT($B43:$H43)&lt;2,"",IF(E43=MAX($B43:$H43),"Costliest",IF(E43=MIN($B43:$H43),"Cheapest",""))))</f>
        <v/>
      </c>
      <c r="F59" s="28" t="str">
        <f aca="false">IF(F43="","",IF(COUNT($B43:$H43)&lt;2,"",IF(F43=MAX($B43:$H43),"Costliest",IF(F43=MIN($B43:$H43),"Cheapest",""))))</f>
        <v/>
      </c>
      <c r="G59" s="28" t="str">
        <f aca="false">IF(G43="","",IF(COUNT($B43:$H43)&lt;2,"",IF(G43=MAX($B43:$H43),"Costliest",IF(G43=MIN($B43:$H43),"Cheapest",""))))</f>
        <v/>
      </c>
      <c r="H59" s="28" t="str">
        <f aca="false">IF(H43="","",IF(COUNT($B43:$H43)&lt;2,"",IF(H43=MAX($B43:$H43),"Costliest",IF(H43=MIN($B43:$H43),"Cheapest",""))))</f>
        <v/>
      </c>
    </row>
    <row r="60" customFormat="false" ht="15" hidden="false" customHeight="false" outlineLevel="0" collapsed="false">
      <c r="A60" s="12" t="s">
        <v>59</v>
      </c>
      <c r="B60" s="28" t="str">
        <f aca="false">IF(B44="","",IF(COUNT($B44:$H44)&lt;2,"",IF(B44=MAX($B44:$H44),"Costliest",IF(B44=MIN($B44:$H44),"Cheapest",""))))</f>
        <v/>
      </c>
      <c r="C60" s="28" t="str">
        <f aca="false">IF(C44="","",IF(COUNT($B44:$H44)&lt;2,"",IF(C44=MAX($B44:$H44),"Costliest",IF(C44=MIN($B44:$H44),"Cheapest",""))))</f>
        <v/>
      </c>
      <c r="D60" s="28" t="str">
        <f aca="false">IF(D44="","",IF(COUNT($B44:$H44)&lt;2,"",IF(D44=MAX($B44:$H44),"Costliest",IF(D44=MIN($B44:$H44),"Cheapest",""))))</f>
        <v/>
      </c>
      <c r="E60" s="28" t="str">
        <f aca="false">IF(E44="","",IF(COUNT($B44:$H44)&lt;2,"",IF(E44=MAX($B44:$H44),"Costliest",IF(E44=MIN($B44:$H44),"Cheapest",""))))</f>
        <v/>
      </c>
      <c r="F60" s="28" t="str">
        <f aca="false">IF(F44="","",IF(COUNT($B44:$H44)&lt;2,"",IF(F44=MAX($B44:$H44),"Costliest",IF(F44=MIN($B44:$H44),"Cheapest",""))))</f>
        <v/>
      </c>
      <c r="G60" s="28" t="str">
        <f aca="false">IF(G44="","",IF(COUNT($B44:$H44)&lt;2,"",IF(G44=MAX($B44:$H44),"Costliest",IF(G44=MIN($B44:$H44),"Cheapest",""))))</f>
        <v/>
      </c>
      <c r="H60" s="28" t="str">
        <f aca="false">IF(H44="","",IF(COUNT($B44:$H44)&lt;2,"",IF(H44=MAX($B44:$H44),"Costliest",IF(H44=MIN($B44:$H44),"Cheapest",""))))</f>
        <v/>
      </c>
    </row>
    <row r="61" customFormat="false" ht="15" hidden="false" customHeight="false" outlineLevel="0" collapsed="false">
      <c r="A61" s="12" t="s">
        <v>60</v>
      </c>
      <c r="B61" s="28" t="str">
        <f aca="false">IF(B45="","",IF(COUNT($B45:$H45)&lt;2,"",IF(B45=MAX($B45:$H45),"Costliest",IF(B45=MIN($B45:$H45),"Cheapest",""))))</f>
        <v/>
      </c>
      <c r="C61" s="28" t="str">
        <f aca="false">IF(C45="","",IF(COUNT($B45:$H45)&lt;2,"",IF(C45=MAX($B45:$H45),"Costliest",IF(C45=MIN($B45:$H45),"Cheapest",""))))</f>
        <v/>
      </c>
      <c r="D61" s="28" t="str">
        <f aca="false">IF(D45="","",IF(COUNT($B45:$H45)&lt;2,"",IF(D45=MAX($B45:$H45),"Costliest",IF(D45=MIN($B45:$H45),"Cheapest",""))))</f>
        <v/>
      </c>
      <c r="E61" s="28" t="str">
        <f aca="false">IF(E45="","",IF(COUNT($B45:$H45)&lt;2,"",IF(E45=MAX($B45:$H45),"Costliest",IF(E45=MIN($B45:$H45),"Cheapest",""))))</f>
        <v/>
      </c>
      <c r="F61" s="28" t="str">
        <f aca="false">IF(F45="","",IF(COUNT($B45:$H45)&lt;2,"",IF(F45=MAX($B45:$H45),"Costliest",IF(F45=MIN($B45:$H45),"Cheapest",""))))</f>
        <v/>
      </c>
      <c r="G61" s="28" t="str">
        <f aca="false">IF(G45="","",IF(COUNT($B45:$H45)&lt;2,"",IF(G45=MAX($B45:$H45),"Costliest",IF(G45=MIN($B45:$H45),"Cheapest",""))))</f>
        <v/>
      </c>
      <c r="H61" s="28" t="str">
        <f aca="false">IF(H45="","",IF(COUNT($B45:$H45)&lt;2,"",IF(H45=MAX($B45:$H45),"Costliest",IF(H45=MIN($B45:$H45),"Cheapest",""))))</f>
        <v/>
      </c>
    </row>
    <row r="62" customFormat="false" ht="15" hidden="false" customHeight="false" outlineLevel="0" collapsed="false">
      <c r="A62" s="12" t="s">
        <v>61</v>
      </c>
      <c r="B62" s="28" t="str">
        <f aca="false">IF(B46="","",IF(COUNT($B46:$H46)&lt;2,"",IF(B46=MAX($B46:$H46),"Costliest",IF(B46=MIN($B46:$H46),"Cheapest",""))))</f>
        <v/>
      </c>
      <c r="C62" s="28" t="str">
        <f aca="false">IF(C46="","",IF(COUNT($B46:$H46)&lt;2,"",IF(C46=MAX($B46:$H46),"Costliest",IF(C46=MIN($B46:$H46),"Cheapest",""))))</f>
        <v/>
      </c>
      <c r="D62" s="28" t="str">
        <f aca="false">IF(D46="","",IF(COUNT($B46:$H46)&lt;2,"",IF(D46=MAX($B46:$H46),"Costliest",IF(D46=MIN($B46:$H46),"Cheapest",""))))</f>
        <v/>
      </c>
      <c r="E62" s="28" t="str">
        <f aca="false">IF(E46="","",IF(COUNT($B46:$H46)&lt;2,"",IF(E46=MAX($B46:$H46),"Costliest",IF(E46=MIN($B46:$H46),"Cheapest",""))))</f>
        <v/>
      </c>
      <c r="F62" s="28" t="str">
        <f aca="false">IF(F46="","",IF(COUNT($B46:$H46)&lt;2,"",IF(F46=MAX($B46:$H46),"Costliest",IF(F46=MIN($B46:$H46),"Cheapest",""))))</f>
        <v/>
      </c>
      <c r="G62" s="28" t="str">
        <f aca="false">IF(G46="","",IF(COUNT($B46:$H46)&lt;2,"",IF(G46=MAX($B46:$H46),"Costliest",IF(G46=MIN($B46:$H46),"Cheapest",""))))</f>
        <v/>
      </c>
      <c r="H62" s="28" t="str">
        <f aca="false">IF(H46="","",IF(COUNT($B46:$H46)&lt;2,"",IF(H46=MAX($B46:$H46),"Costliest",IF(H46=MIN($B46:$H46),"Cheapest",""))))</f>
        <v/>
      </c>
    </row>
    <row r="63" customFormat="false" ht="15" hidden="false" customHeight="false" outlineLevel="0" collapsed="false">
      <c r="A63" s="12" t="s">
        <v>62</v>
      </c>
      <c r="B63" s="28" t="str">
        <f aca="false">IF(B47="","",IF(COUNT($B47:$H47)&lt;2,"",IF(B47=MAX($B47:$H47),"Costliest",IF(B47=MIN($B47:$H47),"Cheapest",""))))</f>
        <v/>
      </c>
      <c r="C63" s="28" t="str">
        <f aca="false">IF(C47="","",IF(COUNT($B47:$H47)&lt;2,"",IF(C47=MAX($B47:$H47),"Costliest",IF(C47=MIN($B47:$H47),"Cheapest",""))))</f>
        <v/>
      </c>
      <c r="D63" s="28" t="str">
        <f aca="false">IF(D47="","",IF(COUNT($B47:$H47)&lt;2,"",IF(D47=MAX($B47:$H47),"Costliest",IF(D47=MIN($B47:$H47),"Cheapest",""))))</f>
        <v/>
      </c>
      <c r="E63" s="28" t="str">
        <f aca="false">IF(E47="","",IF(COUNT($B47:$H47)&lt;2,"",IF(E47=MAX($B47:$H47),"Costliest",IF(E47=MIN($B47:$H47),"Cheapest",""))))</f>
        <v/>
      </c>
      <c r="F63" s="28" t="str">
        <f aca="false">IF(F47="","",IF(COUNT($B47:$H47)&lt;2,"",IF(F47=MAX($B47:$H47),"Costliest",IF(F47=MIN($B47:$H47),"Cheapest",""))))</f>
        <v/>
      </c>
      <c r="G63" s="28" t="str">
        <f aca="false">IF(G47="","",IF(COUNT($B47:$H47)&lt;2,"",IF(G47=MAX($B47:$H47),"Costliest",IF(G47=MIN($B47:$H47),"Cheapest",""))))</f>
        <v/>
      </c>
      <c r="H63" s="28" t="str">
        <f aca="false">IF(H47="","",IF(COUNT($B47:$H47)&lt;2,"",IF(H47=MAX($B47:$H47),"Costliest",IF(H47=MIN($B47:$H47),"Cheapest",""))))</f>
        <v/>
      </c>
    </row>
    <row r="64" customFormat="false" ht="15" hidden="false" customHeight="false" outlineLevel="0" collapsed="false">
      <c r="A64" s="12" t="s">
        <v>63</v>
      </c>
      <c r="B64" s="28" t="str">
        <f aca="false">IF(B48="","",IF(COUNT($B48:$H48)&lt;2,"",IF(B48=MAX($B48:$H48),"Costliest",IF(B48=MIN($B48:$H48),"Cheapest",""))))</f>
        <v/>
      </c>
      <c r="C64" s="28" t="str">
        <f aca="false">IF(C48="","",IF(COUNT($B48:$H48)&lt;2,"",IF(C48=MAX($B48:$H48),"Costliest",IF(C48=MIN($B48:$H48),"Cheapest",""))))</f>
        <v/>
      </c>
      <c r="D64" s="28" t="str">
        <f aca="false">IF(D48="","",IF(COUNT($B48:$H48)&lt;2,"",IF(D48=MAX($B48:$H48),"Costliest",IF(D48=MIN($B48:$H48),"Cheapest",""))))</f>
        <v/>
      </c>
      <c r="E64" s="28" t="str">
        <f aca="false">IF(E48="","",IF(COUNT($B48:$H48)&lt;2,"",IF(E48=MAX($B48:$H48),"Costliest",IF(E48=MIN($B48:$H48),"Cheapest",""))))</f>
        <v/>
      </c>
      <c r="F64" s="28" t="str">
        <f aca="false">IF(F48="","",IF(COUNT($B48:$H48)&lt;2,"",IF(F48=MAX($B48:$H48),"Costliest",IF(F48=MIN($B48:$H48),"Cheapest",""))))</f>
        <v/>
      </c>
      <c r="G64" s="28" t="str">
        <f aca="false">IF(G48="","",IF(COUNT($B48:$H48)&lt;2,"",IF(G48=MAX($B48:$H48),"Costliest",IF(G48=MIN($B48:$H48),"Cheapest",""))))</f>
        <v/>
      </c>
      <c r="H64" s="28" t="str">
        <f aca="false">IF(H48="","",IF(COUNT($B48:$H48)&lt;2,"",IF(H48=MAX($B48:$H48),"Costliest",IF(H48=MIN($B48:$H48),"Cheapest",""))))</f>
        <v/>
      </c>
    </row>
    <row r="65" customFormat="false" ht="15" hidden="false" customHeight="false" outlineLevel="0" collapsed="false">
      <c r="A65" s="12" t="s">
        <v>64</v>
      </c>
      <c r="B65" s="28" t="str">
        <f aca="false">IF(B49="","",IF(COUNT($B49:$H49)&lt;2,"",IF(B49=MAX($B49:$H49),"Costliest",IF(B49=MIN($B49:$H49),"Cheapest",""))))</f>
        <v/>
      </c>
      <c r="C65" s="28" t="str">
        <f aca="false">IF(C49="","",IF(COUNT($B49:$H49)&lt;2,"",IF(C49=MAX($B49:$H49),"Costliest",IF(C49=MIN($B49:$H49),"Cheapest",""))))</f>
        <v/>
      </c>
      <c r="D65" s="28" t="str">
        <f aca="false">IF(D49="","",IF(COUNT($B49:$H49)&lt;2,"",IF(D49=MAX($B49:$H49),"Costliest",IF(D49=MIN($B49:$H49),"Cheapest",""))))</f>
        <v/>
      </c>
      <c r="E65" s="28" t="str">
        <f aca="false">IF(E49="","",IF(COUNT($B49:$H49)&lt;2,"",IF(E49=MAX($B49:$H49),"Costliest",IF(E49=MIN($B49:$H49),"Cheapest",""))))</f>
        <v/>
      </c>
      <c r="F65" s="28" t="str">
        <f aca="false">IF(F49="","",IF(COUNT($B49:$H49)&lt;2,"",IF(F49=MAX($B49:$H49),"Costliest",IF(F49=MIN($B49:$H49),"Cheapest",""))))</f>
        <v/>
      </c>
      <c r="G65" s="28" t="str">
        <f aca="false">IF(G49="","",IF(COUNT($B49:$H49)&lt;2,"",IF(G49=MAX($B49:$H49),"Costliest",IF(G49=MIN($B49:$H49),"Cheapest",""))))</f>
        <v/>
      </c>
      <c r="H65" s="28" t="str">
        <f aca="false">IF(H49="","",IF(COUNT($B49:$H49)&lt;2,"",IF(H49=MAX($B49:$H49),"Costliest",IF(H49=MIN($B49:$H49),"Cheapest",""))))</f>
        <v/>
      </c>
    </row>
    <row r="66" customFormat="false" ht="15" hidden="false" customHeight="false" outlineLevel="0" collapsed="false">
      <c r="A66" s="12" t="s">
        <v>65</v>
      </c>
      <c r="B66" s="28" t="str">
        <f aca="false">IF(B50="","",IF(COUNT($B50:$H50)&lt;2,"",IF(B50=MAX($B50:$H50),"Costliest",IF(B50=MIN($B50:$H50),"Cheapest",""))))</f>
        <v/>
      </c>
      <c r="C66" s="28" t="str">
        <f aca="false">IF(C50="","",IF(COUNT($B50:$H50)&lt;2,"",IF(C50=MAX($B50:$H50),"Costliest",IF(C50=MIN($B50:$H50),"Cheapest",""))))</f>
        <v/>
      </c>
      <c r="D66" s="28" t="str">
        <f aca="false">IF(D50="","",IF(COUNT($B50:$H50)&lt;2,"",IF(D50=MAX($B50:$H50),"Costliest",IF(D50=MIN($B50:$H50),"Cheapest",""))))</f>
        <v/>
      </c>
      <c r="E66" s="28" t="str">
        <f aca="false">IF(E50="","",IF(COUNT($B50:$H50)&lt;2,"",IF(E50=MAX($B50:$H50),"Costliest",IF(E50=MIN($B50:$H50),"Cheapest",""))))</f>
        <v/>
      </c>
      <c r="F66" s="28" t="str">
        <f aca="false">IF(F50="","",IF(COUNT($B50:$H50)&lt;2,"",IF(F50=MAX($B50:$H50),"Costliest",IF(F50=MIN($B50:$H50),"Cheapest",""))))</f>
        <v/>
      </c>
      <c r="G66" s="28" t="str">
        <f aca="false">IF(G50="","",IF(COUNT($B50:$H50)&lt;2,"",IF(G50=MAX($B50:$H50),"Costliest",IF(G50=MIN($B50:$H50),"Cheapest",""))))</f>
        <v/>
      </c>
      <c r="H66" s="28" t="str">
        <f aca="false">IF(H50="","",IF(COUNT($B50:$H50)&lt;2,"",IF(H50=MAX($B50:$H50),"Costliest",IF(H50=MIN($B50:$H50),"Cheapest",""))))</f>
        <v/>
      </c>
    </row>
    <row r="67" customFormat="false" ht="15" hidden="false" customHeight="false" outlineLevel="0" collapsed="false">
      <c r="A67" s="12" t="s">
        <v>66</v>
      </c>
      <c r="B67" s="28" t="str">
        <f aca="false">IF(B51="","",IF(COUNT($B51:$H51)&lt;2,"",IF(B51=MAX($B51:$H51),"Costliest",IF(B51=MIN($B51:$H51),"Cheapest",""))))</f>
        <v/>
      </c>
      <c r="C67" s="28" t="str">
        <f aca="false">IF(C51="","",IF(COUNT($B51:$H51)&lt;2,"",IF(C51=MAX($B51:$H51),"Costliest",IF(C51=MIN($B51:$H51),"Cheapest",""))))</f>
        <v/>
      </c>
      <c r="D67" s="28" t="str">
        <f aca="false">IF(D51="","",IF(COUNT($B51:$H51)&lt;2,"",IF(D51=MAX($B51:$H51),"Costliest",IF(D51=MIN($B51:$H51),"Cheapest",""))))</f>
        <v/>
      </c>
      <c r="E67" s="28" t="str">
        <f aca="false">IF(E51="","",IF(COUNT($B51:$H51)&lt;2,"",IF(E51=MAX($B51:$H51),"Costliest",IF(E51=MIN($B51:$H51),"Cheapest",""))))</f>
        <v/>
      </c>
      <c r="F67" s="28" t="str">
        <f aca="false">IF(F51="","",IF(COUNT($B51:$H51)&lt;2,"",IF(F51=MAX($B51:$H51),"Costliest",IF(F51=MIN($B51:$H51),"Cheapest",""))))</f>
        <v/>
      </c>
      <c r="G67" s="28" t="str">
        <f aca="false">IF(G51="","",IF(COUNT($B51:$H51)&lt;2,"",IF(G51=MAX($B51:$H51),"Costliest",IF(G51=MIN($B51:$H51),"Cheapest",""))))</f>
        <v/>
      </c>
      <c r="H67" s="28" t="str">
        <f aca="false">IF(H51="","",IF(COUNT($B51:$H51)&lt;2,"",IF(H51=MAX($B51:$H51),"Costliest",IF(H51=MIN($B51:$H51),"Cheapest",""))))</f>
        <v/>
      </c>
    </row>
    <row r="70" customFormat="false" ht="15" hidden="false" customHeight="false" outlineLevel="0" collapsed="false">
      <c r="A70" s="27" t="s">
        <v>70</v>
      </c>
    </row>
    <row r="71" customFormat="false" ht="31.5" hidden="false" customHeight="true" outlineLevel="0" collapsed="false">
      <c r="A71" s="11" t="s">
        <v>71</v>
      </c>
      <c r="B71" s="11" t="s">
        <v>41</v>
      </c>
      <c r="C71" s="11" t="s">
        <v>42</v>
      </c>
      <c r="D71" s="11" t="s">
        <v>21</v>
      </c>
      <c r="E71" s="11" t="s">
        <v>43</v>
      </c>
      <c r="F71" s="11" t="s">
        <v>44</v>
      </c>
      <c r="G71" s="11" t="s">
        <v>45</v>
      </c>
      <c r="H71" s="11" t="s">
        <v>22</v>
      </c>
    </row>
    <row r="72" customFormat="false" ht="15" hidden="false" customHeight="false" outlineLevel="0" collapsed="false">
      <c r="A72" s="29" t="s">
        <v>72</v>
      </c>
      <c r="B72" s="30" t="n">
        <f aca="false">COUNT(B40:B51)</f>
        <v>0</v>
      </c>
      <c r="C72" s="30" t="n">
        <f aca="false">COUNT(C40:C51)</f>
        <v>0</v>
      </c>
      <c r="D72" s="30" t="n">
        <f aca="false">COUNT(D40:D51)</f>
        <v>0</v>
      </c>
      <c r="E72" s="30" t="n">
        <f aca="false">COUNT(E40:E51)</f>
        <v>0</v>
      </c>
      <c r="F72" s="30" t="n">
        <f aca="false">COUNT(F40:F51)</f>
        <v>0</v>
      </c>
      <c r="G72" s="30" t="n">
        <f aca="false">COUNT(G40:G51)</f>
        <v>0</v>
      </c>
      <c r="H72" s="30" t="n">
        <f aca="false">COUNT(H40:H51)</f>
        <v>0</v>
      </c>
    </row>
    <row r="73" customFormat="false" ht="15" hidden="false" customHeight="false" outlineLevel="0" collapsed="false">
      <c r="A73" s="29" t="s">
        <v>73</v>
      </c>
      <c r="B73" s="31" t="str">
        <f aca="false">IFERROR(AVERAGE(B40:B51),"")</f>
        <v/>
      </c>
      <c r="C73" s="31" t="str">
        <f aca="false">IFERROR(AVERAGE(C40:C51),"")</f>
        <v/>
      </c>
      <c r="D73" s="31" t="str">
        <f aca="false">IFERROR(AVERAGE(D40:D51),"")</f>
        <v/>
      </c>
      <c r="E73" s="31" t="str">
        <f aca="false">IFERROR(AVERAGE(E40:E51),"")</f>
        <v/>
      </c>
      <c r="F73" s="31" t="str">
        <f aca="false">IFERROR(AVERAGE(F40:F51),"")</f>
        <v/>
      </c>
      <c r="G73" s="31" t="str">
        <f aca="false">IFERROR(AVERAGE(G40:G51),"")</f>
        <v/>
      </c>
      <c r="H73" s="31" t="str">
        <f aca="false">IFERROR(AVERAGE(H40:H51),"")</f>
        <v/>
      </c>
    </row>
    <row r="74" customFormat="false" ht="15" hidden="false" customHeight="false" outlineLevel="0" collapsed="false">
      <c r="A74" s="29" t="s">
        <v>74</v>
      </c>
      <c r="B74" s="30" t="n">
        <f aca="false">COUNTIF(B56:B67,"Costliest")</f>
        <v>0</v>
      </c>
      <c r="C74" s="30" t="n">
        <f aca="false">COUNTIF(C56:C67,"Costliest")</f>
        <v>0</v>
      </c>
      <c r="D74" s="30" t="n">
        <f aca="false">COUNTIF(D56:D67,"Costliest")</f>
        <v>0</v>
      </c>
      <c r="E74" s="30" t="n">
        <f aca="false">COUNTIF(E56:E67,"Costliest")</f>
        <v>0</v>
      </c>
      <c r="F74" s="30" t="n">
        <f aca="false">COUNTIF(F56:F67,"Costliest")</f>
        <v>0</v>
      </c>
      <c r="G74" s="30" t="n">
        <f aca="false">COUNTIF(G56:G67,"Costliest")</f>
        <v>0</v>
      </c>
      <c r="H74" s="30" t="n">
        <f aca="false">COUNTIF(H56:H67,"Costliest")</f>
        <v>0</v>
      </c>
    </row>
    <row r="75" customFormat="false" ht="15" hidden="false" customHeight="false" outlineLevel="0" collapsed="false">
      <c r="A75" s="29" t="s">
        <v>75</v>
      </c>
      <c r="B75" s="30" t="n">
        <f aca="false">COUNTIF(B56:B67,"Cheapest")</f>
        <v>0</v>
      </c>
      <c r="C75" s="30" t="n">
        <f aca="false">COUNTIF(C56:C67,"Cheapest")</f>
        <v>0</v>
      </c>
      <c r="D75" s="30" t="n">
        <f aca="false">COUNTIF(D56:D67,"Cheapest")</f>
        <v>0</v>
      </c>
      <c r="E75" s="30" t="n">
        <f aca="false">COUNTIF(E56:E67,"Cheapest")</f>
        <v>0</v>
      </c>
      <c r="F75" s="30" t="n">
        <f aca="false">COUNTIF(F56:F67,"Cheapest")</f>
        <v>0</v>
      </c>
      <c r="G75" s="30" t="n">
        <f aca="false">COUNTIF(G56:G67,"Cheapest")</f>
        <v>0</v>
      </c>
      <c r="H75" s="30" t="n">
        <f aca="false">COUNTIF(H56:H67,"Cheapest")</f>
        <v>0</v>
      </c>
    </row>
    <row r="76" customFormat="false" ht="30" hidden="false" customHeight="true" outlineLevel="0" collapsed="false">
      <c r="A76" s="29" t="s">
        <v>76</v>
      </c>
      <c r="B76" s="32" t="str">
        <f aca="false">IF(B72&lt;8,"Need 8+ weeks",IF(B74&gt;=B72/2,"Repeating weak day",IF(B75&gt;=B72/2,"Repeating strong day","No clear pattern")))</f>
        <v>Need 8+ weeks</v>
      </c>
      <c r="C76" s="32" t="str">
        <f aca="false">IF(C72&lt;8,"Need 8+ weeks",IF(C74&gt;=C72/2,"Repeating weak day",IF(C75&gt;=C72/2,"Repeating strong day","No clear pattern")))</f>
        <v>Need 8+ weeks</v>
      </c>
      <c r="D76" s="32" t="str">
        <f aca="false">IF(D72&lt;8,"Need 8+ weeks",IF(D74&gt;=D72/2,"Repeating weak day",IF(D75&gt;=D72/2,"Repeating strong day","No clear pattern")))</f>
        <v>Need 8+ weeks</v>
      </c>
      <c r="E76" s="32" t="str">
        <f aca="false">IF(E72&lt;8,"Need 8+ weeks",IF(E74&gt;=E72/2,"Repeating weak day",IF(E75&gt;=E72/2,"Repeating strong day","No clear pattern")))</f>
        <v>Need 8+ weeks</v>
      </c>
      <c r="F76" s="32" t="str">
        <f aca="false">IF(F72&lt;8,"Need 8+ weeks",IF(F74&gt;=F72/2,"Repeating weak day",IF(F75&gt;=F72/2,"Repeating strong day","No clear pattern")))</f>
        <v>Need 8+ weeks</v>
      </c>
      <c r="G76" s="32" t="str">
        <f aca="false">IF(G72&lt;8,"Need 8+ weeks",IF(G74&gt;=G72/2,"Repeating weak day",IF(G75&gt;=G72/2,"Repeating strong day","No clear pattern")))</f>
        <v>Need 8+ weeks</v>
      </c>
      <c r="H76" s="32" t="str">
        <f aca="false">IF(H72&lt;8,"Need 8+ weeks",IF(H74&gt;=H72/2,"Repeating weak day",IF(H75&gt;=H72/2,"Repeating strong day","No clear pattern")))</f>
        <v>Need 8+ weeks</v>
      </c>
    </row>
    <row r="78" customFormat="false" ht="30" hidden="false" customHeight="true" outlineLevel="0" collapsed="false">
      <c r="A78" s="6" t="s">
        <v>77</v>
      </c>
      <c r="B78" s="6"/>
      <c r="C78" s="6"/>
      <c r="D78" s="6"/>
      <c r="E78" s="6"/>
      <c r="F78" s="6"/>
      <c r="G78" s="6"/>
      <c r="H78" s="6"/>
    </row>
  </sheetData>
  <mergeCells count="2">
    <mergeCell ref="A3:H3"/>
    <mergeCell ref="A78:H78"/>
  </mergeCells>
  <conditionalFormatting sqref="B56:H67">
    <cfRule type="expression" priority="2" aboveAverage="0" equalAverage="0" bottom="0" percent="0" rank="0" text="" dxfId="0">
      <formula>B56="Costliest"</formula>
    </cfRule>
    <cfRule type="expression" priority="3" aboveAverage="0" equalAverage="0" bottom="0" percent="0" rank="0" text="" dxfId="1">
      <formula>B56="Cheapest"</formula>
    </cfRule>
  </conditionalFormatting>
  <conditionalFormatting sqref="B76:H76">
    <cfRule type="expression" priority="4" aboveAverage="0" equalAverage="0" bottom="0" percent="0" rank="0" text="" dxfId="0">
      <formula>B76="Repeating weak day"</formula>
    </cfRule>
    <cfRule type="expression" priority="5" aboveAverage="0" equalAverage="0" bottom="0" percent="0" rank="0" text="" dxfId="1">
      <formula>B76="Repeating strong day"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3FBE"/>
    <pageSetUpPr fitToPage="tru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78</v>
      </c>
    </row>
    <row r="3" customFormat="false" ht="30" hidden="false" customHeight="true" outlineLevel="0" collapsed="false">
      <c r="A3" s="3" t="s">
        <v>79</v>
      </c>
      <c r="B3" s="3"/>
      <c r="C3" s="3"/>
      <c r="D3" s="3"/>
      <c r="E3" s="3"/>
      <c r="F3" s="3"/>
      <c r="G3" s="3"/>
      <c r="H3" s="3"/>
      <c r="I3" s="3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</row>
    <row r="6" customFormat="false" ht="31.5" hidden="false" customHeight="true" outlineLevel="0" collapsed="false">
      <c r="A6" s="11" t="s">
        <v>80</v>
      </c>
      <c r="B6" s="11" t="s">
        <v>17</v>
      </c>
      <c r="C6" s="11" t="s">
        <v>18</v>
      </c>
      <c r="D6" s="11" t="s">
        <v>19</v>
      </c>
      <c r="E6" s="11" t="s">
        <v>81</v>
      </c>
      <c r="F6" s="11" t="s">
        <v>36</v>
      </c>
      <c r="G6" s="11" t="s">
        <v>20</v>
      </c>
      <c r="H6" s="11" t="s">
        <v>37</v>
      </c>
      <c r="I6" s="11" t="s">
        <v>40</v>
      </c>
    </row>
    <row r="7" customFormat="false" ht="15" hidden="false" customHeight="false" outlineLevel="0" collapsed="false">
      <c r="A7" s="12" t="s">
        <v>82</v>
      </c>
      <c r="B7" s="13"/>
      <c r="C7" s="14"/>
      <c r="D7" s="13"/>
      <c r="E7" s="33"/>
      <c r="F7" s="18" t="str">
        <f aca="false">IFERROR(D7/B7,"")</f>
        <v/>
      </c>
      <c r="G7" s="15" t="str">
        <f aca="false">IFERROR(C7/D7,"")</f>
        <v/>
      </c>
      <c r="H7" s="19" t="str">
        <f aca="false">IFERROR(G7/$G$31-1,"")</f>
        <v/>
      </c>
      <c r="I7" s="12" t="str">
        <f aca="false">IF(AND(UPPER(E7)="N",N(B7)&gt;0),"Clicks when calls go unanswered",IF(AND(N(B7)&gt;0,N(D7)=0),"Clicks, no conversions",IF(H7="","",IF(H7&gt;'Start here'!$B$16,"Weak",IF(H7&lt;-'Start here'!$B$16,"Strong","Normal")))))</f>
        <v/>
      </c>
    </row>
    <row r="8" customFormat="false" ht="15" hidden="false" customHeight="false" outlineLevel="0" collapsed="false">
      <c r="A8" s="12" t="s">
        <v>83</v>
      </c>
      <c r="B8" s="13"/>
      <c r="C8" s="14"/>
      <c r="D8" s="13"/>
      <c r="E8" s="33"/>
      <c r="F8" s="18" t="str">
        <f aca="false">IFERROR(D8/B8,"")</f>
        <v/>
      </c>
      <c r="G8" s="15" t="str">
        <f aca="false">IFERROR(C8/D8,"")</f>
        <v/>
      </c>
      <c r="H8" s="19" t="str">
        <f aca="false">IFERROR(G8/$G$31-1,"")</f>
        <v/>
      </c>
      <c r="I8" s="12" t="str">
        <f aca="false">IF(AND(UPPER(E8)="N",N(B8)&gt;0),"Clicks when calls go unanswered",IF(AND(N(B8)&gt;0,N(D8)=0),"Clicks, no conversions",IF(H8="","",IF(H8&gt;'Start here'!$B$16,"Weak",IF(H8&lt;-'Start here'!$B$16,"Strong","Normal")))))</f>
        <v/>
      </c>
    </row>
    <row r="9" customFormat="false" ht="15" hidden="false" customHeight="false" outlineLevel="0" collapsed="false">
      <c r="A9" s="12" t="s">
        <v>84</v>
      </c>
      <c r="B9" s="13"/>
      <c r="C9" s="14"/>
      <c r="D9" s="13"/>
      <c r="E9" s="33"/>
      <c r="F9" s="18" t="str">
        <f aca="false">IFERROR(D9/B9,"")</f>
        <v/>
      </c>
      <c r="G9" s="15" t="str">
        <f aca="false">IFERROR(C9/D9,"")</f>
        <v/>
      </c>
      <c r="H9" s="19" t="str">
        <f aca="false">IFERROR(G9/$G$31-1,"")</f>
        <v/>
      </c>
      <c r="I9" s="12" t="str">
        <f aca="false">IF(AND(UPPER(E9)="N",N(B9)&gt;0),"Clicks when calls go unanswered",IF(AND(N(B9)&gt;0,N(D9)=0),"Clicks, no conversions",IF(H9="","",IF(H9&gt;'Start here'!$B$16,"Weak",IF(H9&lt;-'Start here'!$B$16,"Strong","Normal")))))</f>
        <v/>
      </c>
    </row>
    <row r="10" customFormat="false" ht="15" hidden="false" customHeight="false" outlineLevel="0" collapsed="false">
      <c r="A10" s="12" t="s">
        <v>85</v>
      </c>
      <c r="B10" s="13"/>
      <c r="C10" s="14"/>
      <c r="D10" s="13"/>
      <c r="E10" s="33"/>
      <c r="F10" s="18" t="str">
        <f aca="false">IFERROR(D10/B10,"")</f>
        <v/>
      </c>
      <c r="G10" s="15" t="str">
        <f aca="false">IFERROR(C10/D10,"")</f>
        <v/>
      </c>
      <c r="H10" s="19" t="str">
        <f aca="false">IFERROR(G10/$G$31-1,"")</f>
        <v/>
      </c>
      <c r="I10" s="12" t="str">
        <f aca="false">IF(AND(UPPER(E10)="N",N(B10)&gt;0),"Clicks when calls go unanswered",IF(AND(N(B10)&gt;0,N(D10)=0),"Clicks, no conversions",IF(H10="","",IF(H10&gt;'Start here'!$B$16,"Weak",IF(H10&lt;-'Start here'!$B$16,"Strong","Normal")))))</f>
        <v/>
      </c>
    </row>
    <row r="11" customFormat="false" ht="15" hidden="false" customHeight="false" outlineLevel="0" collapsed="false">
      <c r="A11" s="12" t="s">
        <v>86</v>
      </c>
      <c r="B11" s="13"/>
      <c r="C11" s="14"/>
      <c r="D11" s="13"/>
      <c r="E11" s="33"/>
      <c r="F11" s="18" t="str">
        <f aca="false">IFERROR(D11/B11,"")</f>
        <v/>
      </c>
      <c r="G11" s="15" t="str">
        <f aca="false">IFERROR(C11/D11,"")</f>
        <v/>
      </c>
      <c r="H11" s="19" t="str">
        <f aca="false">IFERROR(G11/$G$31-1,"")</f>
        <v/>
      </c>
      <c r="I11" s="12" t="str">
        <f aca="false">IF(AND(UPPER(E11)="N",N(B11)&gt;0),"Clicks when calls go unanswered",IF(AND(N(B11)&gt;0,N(D11)=0),"Clicks, no conversions",IF(H11="","",IF(H11&gt;'Start here'!$B$16,"Weak",IF(H11&lt;-'Start here'!$B$16,"Strong","Normal")))))</f>
        <v/>
      </c>
    </row>
    <row r="12" customFormat="false" ht="15" hidden="false" customHeight="false" outlineLevel="0" collapsed="false">
      <c r="A12" s="12" t="s">
        <v>87</v>
      </c>
      <c r="B12" s="13"/>
      <c r="C12" s="14"/>
      <c r="D12" s="13"/>
      <c r="E12" s="33"/>
      <c r="F12" s="18" t="str">
        <f aca="false">IFERROR(D12/B12,"")</f>
        <v/>
      </c>
      <c r="G12" s="15" t="str">
        <f aca="false">IFERROR(C12/D12,"")</f>
        <v/>
      </c>
      <c r="H12" s="19" t="str">
        <f aca="false">IFERROR(G12/$G$31-1,"")</f>
        <v/>
      </c>
      <c r="I12" s="12" t="str">
        <f aca="false">IF(AND(UPPER(E12)="N",N(B12)&gt;0),"Clicks when calls go unanswered",IF(AND(N(B12)&gt;0,N(D12)=0),"Clicks, no conversions",IF(H12="","",IF(H12&gt;'Start here'!$B$16,"Weak",IF(H12&lt;-'Start here'!$B$16,"Strong","Normal")))))</f>
        <v/>
      </c>
    </row>
    <row r="13" customFormat="false" ht="15" hidden="false" customHeight="false" outlineLevel="0" collapsed="false">
      <c r="A13" s="12" t="s">
        <v>88</v>
      </c>
      <c r="B13" s="13"/>
      <c r="C13" s="14"/>
      <c r="D13" s="13"/>
      <c r="E13" s="33"/>
      <c r="F13" s="18" t="str">
        <f aca="false">IFERROR(D13/B13,"")</f>
        <v/>
      </c>
      <c r="G13" s="15" t="str">
        <f aca="false">IFERROR(C13/D13,"")</f>
        <v/>
      </c>
      <c r="H13" s="19" t="str">
        <f aca="false">IFERROR(G13/$G$31-1,"")</f>
        <v/>
      </c>
      <c r="I13" s="12" t="str">
        <f aca="false">IF(AND(UPPER(E13)="N",N(B13)&gt;0),"Clicks when calls go unanswered",IF(AND(N(B13)&gt;0,N(D13)=0),"Clicks, no conversions",IF(H13="","",IF(H13&gt;'Start here'!$B$16,"Weak",IF(H13&lt;-'Start here'!$B$16,"Strong","Normal")))))</f>
        <v/>
      </c>
    </row>
    <row r="14" customFormat="false" ht="15" hidden="false" customHeight="false" outlineLevel="0" collapsed="false">
      <c r="A14" s="12" t="s">
        <v>89</v>
      </c>
      <c r="B14" s="13"/>
      <c r="C14" s="14"/>
      <c r="D14" s="13"/>
      <c r="E14" s="33"/>
      <c r="F14" s="18" t="str">
        <f aca="false">IFERROR(D14/B14,"")</f>
        <v/>
      </c>
      <c r="G14" s="15" t="str">
        <f aca="false">IFERROR(C14/D14,"")</f>
        <v/>
      </c>
      <c r="H14" s="19" t="str">
        <f aca="false">IFERROR(G14/$G$31-1,"")</f>
        <v/>
      </c>
      <c r="I14" s="12" t="str">
        <f aca="false">IF(AND(UPPER(E14)="N",N(B14)&gt;0),"Clicks when calls go unanswered",IF(AND(N(B14)&gt;0,N(D14)=0),"Clicks, no conversions",IF(H14="","",IF(H14&gt;'Start here'!$B$16,"Weak",IF(H14&lt;-'Start here'!$B$16,"Strong","Normal")))))</f>
        <v/>
      </c>
    </row>
    <row r="15" customFormat="false" ht="15" hidden="false" customHeight="false" outlineLevel="0" collapsed="false">
      <c r="A15" s="12" t="s">
        <v>90</v>
      </c>
      <c r="B15" s="13"/>
      <c r="C15" s="14"/>
      <c r="D15" s="13"/>
      <c r="E15" s="33"/>
      <c r="F15" s="18" t="str">
        <f aca="false">IFERROR(D15/B15,"")</f>
        <v/>
      </c>
      <c r="G15" s="15" t="str">
        <f aca="false">IFERROR(C15/D15,"")</f>
        <v/>
      </c>
      <c r="H15" s="19" t="str">
        <f aca="false">IFERROR(G15/$G$31-1,"")</f>
        <v/>
      </c>
      <c r="I15" s="12" t="str">
        <f aca="false">IF(AND(UPPER(E15)="N",N(B15)&gt;0),"Clicks when calls go unanswered",IF(AND(N(B15)&gt;0,N(D15)=0),"Clicks, no conversions",IF(H15="","",IF(H15&gt;'Start here'!$B$16,"Weak",IF(H15&lt;-'Start here'!$B$16,"Strong","Normal")))))</f>
        <v/>
      </c>
    </row>
    <row r="16" customFormat="false" ht="15" hidden="false" customHeight="false" outlineLevel="0" collapsed="false">
      <c r="A16" s="12" t="s">
        <v>91</v>
      </c>
      <c r="B16" s="13"/>
      <c r="C16" s="14"/>
      <c r="D16" s="13"/>
      <c r="E16" s="33"/>
      <c r="F16" s="18" t="str">
        <f aca="false">IFERROR(D16/B16,"")</f>
        <v/>
      </c>
      <c r="G16" s="15" t="str">
        <f aca="false">IFERROR(C16/D16,"")</f>
        <v/>
      </c>
      <c r="H16" s="19" t="str">
        <f aca="false">IFERROR(G16/$G$31-1,"")</f>
        <v/>
      </c>
      <c r="I16" s="12" t="str">
        <f aca="false">IF(AND(UPPER(E16)="N",N(B16)&gt;0),"Clicks when calls go unanswered",IF(AND(N(B16)&gt;0,N(D16)=0),"Clicks, no conversions",IF(H16="","",IF(H16&gt;'Start here'!$B$16,"Weak",IF(H16&lt;-'Start here'!$B$16,"Strong","Normal")))))</f>
        <v/>
      </c>
    </row>
    <row r="17" customFormat="false" ht="15" hidden="false" customHeight="false" outlineLevel="0" collapsed="false">
      <c r="A17" s="12" t="s">
        <v>92</v>
      </c>
      <c r="B17" s="13"/>
      <c r="C17" s="14"/>
      <c r="D17" s="13"/>
      <c r="E17" s="33"/>
      <c r="F17" s="18" t="str">
        <f aca="false">IFERROR(D17/B17,"")</f>
        <v/>
      </c>
      <c r="G17" s="15" t="str">
        <f aca="false">IFERROR(C17/D17,"")</f>
        <v/>
      </c>
      <c r="H17" s="19" t="str">
        <f aca="false">IFERROR(G17/$G$31-1,"")</f>
        <v/>
      </c>
      <c r="I17" s="12" t="str">
        <f aca="false">IF(AND(UPPER(E17)="N",N(B17)&gt;0),"Clicks when calls go unanswered",IF(AND(N(B17)&gt;0,N(D17)=0),"Clicks, no conversions",IF(H17="","",IF(H17&gt;'Start here'!$B$16,"Weak",IF(H17&lt;-'Start here'!$B$16,"Strong","Normal")))))</f>
        <v/>
      </c>
    </row>
    <row r="18" customFormat="false" ht="15" hidden="false" customHeight="false" outlineLevel="0" collapsed="false">
      <c r="A18" s="12" t="s">
        <v>93</v>
      </c>
      <c r="B18" s="13"/>
      <c r="C18" s="14"/>
      <c r="D18" s="13"/>
      <c r="E18" s="33"/>
      <c r="F18" s="18" t="str">
        <f aca="false">IFERROR(D18/B18,"")</f>
        <v/>
      </c>
      <c r="G18" s="15" t="str">
        <f aca="false">IFERROR(C18/D18,"")</f>
        <v/>
      </c>
      <c r="H18" s="19" t="str">
        <f aca="false">IFERROR(G18/$G$31-1,"")</f>
        <v/>
      </c>
      <c r="I18" s="12" t="str">
        <f aca="false">IF(AND(UPPER(E18)="N",N(B18)&gt;0),"Clicks when calls go unanswered",IF(AND(N(B18)&gt;0,N(D18)=0),"Clicks, no conversions",IF(H18="","",IF(H18&gt;'Start here'!$B$16,"Weak",IF(H18&lt;-'Start here'!$B$16,"Strong","Normal")))))</f>
        <v/>
      </c>
    </row>
    <row r="19" customFormat="false" ht="15" hidden="false" customHeight="false" outlineLevel="0" collapsed="false">
      <c r="A19" s="12" t="s">
        <v>94</v>
      </c>
      <c r="B19" s="13"/>
      <c r="C19" s="14"/>
      <c r="D19" s="13"/>
      <c r="E19" s="33"/>
      <c r="F19" s="18" t="str">
        <f aca="false">IFERROR(D19/B19,"")</f>
        <v/>
      </c>
      <c r="G19" s="15" t="str">
        <f aca="false">IFERROR(C19/D19,"")</f>
        <v/>
      </c>
      <c r="H19" s="19" t="str">
        <f aca="false">IFERROR(G19/$G$31-1,"")</f>
        <v/>
      </c>
      <c r="I19" s="12" t="str">
        <f aca="false">IF(AND(UPPER(E19)="N",N(B19)&gt;0),"Clicks when calls go unanswered",IF(AND(N(B19)&gt;0,N(D19)=0),"Clicks, no conversions",IF(H19="","",IF(H19&gt;'Start here'!$B$16,"Weak",IF(H19&lt;-'Start here'!$B$16,"Strong","Normal")))))</f>
        <v/>
      </c>
    </row>
    <row r="20" customFormat="false" ht="15" hidden="false" customHeight="false" outlineLevel="0" collapsed="false">
      <c r="A20" s="12" t="s">
        <v>95</v>
      </c>
      <c r="B20" s="13"/>
      <c r="C20" s="14"/>
      <c r="D20" s="13"/>
      <c r="E20" s="33"/>
      <c r="F20" s="18" t="str">
        <f aca="false">IFERROR(D20/B20,"")</f>
        <v/>
      </c>
      <c r="G20" s="15" t="str">
        <f aca="false">IFERROR(C20/D20,"")</f>
        <v/>
      </c>
      <c r="H20" s="19" t="str">
        <f aca="false">IFERROR(G20/$G$31-1,"")</f>
        <v/>
      </c>
      <c r="I20" s="12" t="str">
        <f aca="false">IF(AND(UPPER(E20)="N",N(B20)&gt;0),"Clicks when calls go unanswered",IF(AND(N(B20)&gt;0,N(D20)=0),"Clicks, no conversions",IF(H20="","",IF(H20&gt;'Start here'!$B$16,"Weak",IF(H20&lt;-'Start here'!$B$16,"Strong","Normal")))))</f>
        <v/>
      </c>
    </row>
    <row r="21" customFormat="false" ht="15" hidden="false" customHeight="false" outlineLevel="0" collapsed="false">
      <c r="A21" s="12" t="s">
        <v>96</v>
      </c>
      <c r="B21" s="13"/>
      <c r="C21" s="14"/>
      <c r="D21" s="13"/>
      <c r="E21" s="33"/>
      <c r="F21" s="18" t="str">
        <f aca="false">IFERROR(D21/B21,"")</f>
        <v/>
      </c>
      <c r="G21" s="15" t="str">
        <f aca="false">IFERROR(C21/D21,"")</f>
        <v/>
      </c>
      <c r="H21" s="19" t="str">
        <f aca="false">IFERROR(G21/$G$31-1,"")</f>
        <v/>
      </c>
      <c r="I21" s="12" t="str">
        <f aca="false">IF(AND(UPPER(E21)="N",N(B21)&gt;0),"Clicks when calls go unanswered",IF(AND(N(B21)&gt;0,N(D21)=0),"Clicks, no conversions",IF(H21="","",IF(H21&gt;'Start here'!$B$16,"Weak",IF(H21&lt;-'Start here'!$B$16,"Strong","Normal")))))</f>
        <v/>
      </c>
    </row>
    <row r="22" customFormat="false" ht="15" hidden="false" customHeight="false" outlineLevel="0" collapsed="false">
      <c r="A22" s="12" t="s">
        <v>97</v>
      </c>
      <c r="B22" s="13"/>
      <c r="C22" s="14"/>
      <c r="D22" s="13"/>
      <c r="E22" s="33"/>
      <c r="F22" s="18" t="str">
        <f aca="false">IFERROR(D22/B22,"")</f>
        <v/>
      </c>
      <c r="G22" s="15" t="str">
        <f aca="false">IFERROR(C22/D22,"")</f>
        <v/>
      </c>
      <c r="H22" s="19" t="str">
        <f aca="false">IFERROR(G22/$G$31-1,"")</f>
        <v/>
      </c>
      <c r="I22" s="12" t="str">
        <f aca="false">IF(AND(UPPER(E22)="N",N(B22)&gt;0),"Clicks when calls go unanswered",IF(AND(N(B22)&gt;0,N(D22)=0),"Clicks, no conversions",IF(H22="","",IF(H22&gt;'Start here'!$B$16,"Weak",IF(H22&lt;-'Start here'!$B$16,"Strong","Normal")))))</f>
        <v/>
      </c>
    </row>
    <row r="23" customFormat="false" ht="15" hidden="false" customHeight="false" outlineLevel="0" collapsed="false">
      <c r="A23" s="12" t="s">
        <v>98</v>
      </c>
      <c r="B23" s="13"/>
      <c r="C23" s="14"/>
      <c r="D23" s="13"/>
      <c r="E23" s="33"/>
      <c r="F23" s="18" t="str">
        <f aca="false">IFERROR(D23/B23,"")</f>
        <v/>
      </c>
      <c r="G23" s="15" t="str">
        <f aca="false">IFERROR(C23/D23,"")</f>
        <v/>
      </c>
      <c r="H23" s="19" t="str">
        <f aca="false">IFERROR(G23/$G$31-1,"")</f>
        <v/>
      </c>
      <c r="I23" s="12" t="str">
        <f aca="false">IF(AND(UPPER(E23)="N",N(B23)&gt;0),"Clicks when calls go unanswered",IF(AND(N(B23)&gt;0,N(D23)=0),"Clicks, no conversions",IF(H23="","",IF(H23&gt;'Start here'!$B$16,"Weak",IF(H23&lt;-'Start here'!$B$16,"Strong","Normal")))))</f>
        <v/>
      </c>
    </row>
    <row r="24" customFormat="false" ht="15" hidden="false" customHeight="false" outlineLevel="0" collapsed="false">
      <c r="A24" s="12" t="s">
        <v>99</v>
      </c>
      <c r="B24" s="13"/>
      <c r="C24" s="14"/>
      <c r="D24" s="13"/>
      <c r="E24" s="33"/>
      <c r="F24" s="18" t="str">
        <f aca="false">IFERROR(D24/B24,"")</f>
        <v/>
      </c>
      <c r="G24" s="15" t="str">
        <f aca="false">IFERROR(C24/D24,"")</f>
        <v/>
      </c>
      <c r="H24" s="19" t="str">
        <f aca="false">IFERROR(G24/$G$31-1,"")</f>
        <v/>
      </c>
      <c r="I24" s="12" t="str">
        <f aca="false">IF(AND(UPPER(E24)="N",N(B24)&gt;0),"Clicks when calls go unanswered",IF(AND(N(B24)&gt;0,N(D24)=0),"Clicks, no conversions",IF(H24="","",IF(H24&gt;'Start here'!$B$16,"Weak",IF(H24&lt;-'Start here'!$B$16,"Strong","Normal")))))</f>
        <v/>
      </c>
    </row>
    <row r="25" customFormat="false" ht="15" hidden="false" customHeight="false" outlineLevel="0" collapsed="false">
      <c r="A25" s="12" t="s">
        <v>100</v>
      </c>
      <c r="B25" s="13"/>
      <c r="C25" s="14"/>
      <c r="D25" s="13"/>
      <c r="E25" s="33"/>
      <c r="F25" s="18" t="str">
        <f aca="false">IFERROR(D25/B25,"")</f>
        <v/>
      </c>
      <c r="G25" s="15" t="str">
        <f aca="false">IFERROR(C25/D25,"")</f>
        <v/>
      </c>
      <c r="H25" s="19" t="str">
        <f aca="false">IFERROR(G25/$G$31-1,"")</f>
        <v/>
      </c>
      <c r="I25" s="12" t="str">
        <f aca="false">IF(AND(UPPER(E25)="N",N(B25)&gt;0),"Clicks when calls go unanswered",IF(AND(N(B25)&gt;0,N(D25)=0),"Clicks, no conversions",IF(H25="","",IF(H25&gt;'Start here'!$B$16,"Weak",IF(H25&lt;-'Start here'!$B$16,"Strong","Normal")))))</f>
        <v/>
      </c>
    </row>
    <row r="26" customFormat="false" ht="15" hidden="false" customHeight="false" outlineLevel="0" collapsed="false">
      <c r="A26" s="12" t="s">
        <v>101</v>
      </c>
      <c r="B26" s="13"/>
      <c r="C26" s="14"/>
      <c r="D26" s="13"/>
      <c r="E26" s="33"/>
      <c r="F26" s="18" t="str">
        <f aca="false">IFERROR(D26/B26,"")</f>
        <v/>
      </c>
      <c r="G26" s="15" t="str">
        <f aca="false">IFERROR(C26/D26,"")</f>
        <v/>
      </c>
      <c r="H26" s="19" t="str">
        <f aca="false">IFERROR(G26/$G$31-1,"")</f>
        <v/>
      </c>
      <c r="I26" s="12" t="str">
        <f aca="false">IF(AND(UPPER(E26)="N",N(B26)&gt;0),"Clicks when calls go unanswered",IF(AND(N(B26)&gt;0,N(D26)=0),"Clicks, no conversions",IF(H26="","",IF(H26&gt;'Start here'!$B$16,"Weak",IF(H26&lt;-'Start here'!$B$16,"Strong","Normal")))))</f>
        <v/>
      </c>
    </row>
    <row r="27" customFormat="false" ht="15" hidden="false" customHeight="false" outlineLevel="0" collapsed="false">
      <c r="A27" s="12" t="s">
        <v>102</v>
      </c>
      <c r="B27" s="13"/>
      <c r="C27" s="14"/>
      <c r="D27" s="13"/>
      <c r="E27" s="33"/>
      <c r="F27" s="18" t="str">
        <f aca="false">IFERROR(D27/B27,"")</f>
        <v/>
      </c>
      <c r="G27" s="15" t="str">
        <f aca="false">IFERROR(C27/D27,"")</f>
        <v/>
      </c>
      <c r="H27" s="19" t="str">
        <f aca="false">IFERROR(G27/$G$31-1,"")</f>
        <v/>
      </c>
      <c r="I27" s="12" t="str">
        <f aca="false">IF(AND(UPPER(E27)="N",N(B27)&gt;0),"Clicks when calls go unanswered",IF(AND(N(B27)&gt;0,N(D27)=0),"Clicks, no conversions",IF(H27="","",IF(H27&gt;'Start here'!$B$16,"Weak",IF(H27&lt;-'Start here'!$B$16,"Strong","Normal")))))</f>
        <v/>
      </c>
    </row>
    <row r="28" customFormat="false" ht="15" hidden="false" customHeight="false" outlineLevel="0" collapsed="false">
      <c r="A28" s="12" t="s">
        <v>103</v>
      </c>
      <c r="B28" s="13"/>
      <c r="C28" s="14"/>
      <c r="D28" s="13"/>
      <c r="E28" s="33"/>
      <c r="F28" s="18" t="str">
        <f aca="false">IFERROR(D28/B28,"")</f>
        <v/>
      </c>
      <c r="G28" s="15" t="str">
        <f aca="false">IFERROR(C28/D28,"")</f>
        <v/>
      </c>
      <c r="H28" s="19" t="str">
        <f aca="false">IFERROR(G28/$G$31-1,"")</f>
        <v/>
      </c>
      <c r="I28" s="12" t="str">
        <f aca="false">IF(AND(UPPER(E28)="N",N(B28)&gt;0),"Clicks when calls go unanswered",IF(AND(N(B28)&gt;0,N(D28)=0),"Clicks, no conversions",IF(H28="","",IF(H28&gt;'Start here'!$B$16,"Weak",IF(H28&lt;-'Start here'!$B$16,"Strong","Normal")))))</f>
        <v/>
      </c>
    </row>
    <row r="29" customFormat="false" ht="15" hidden="false" customHeight="false" outlineLevel="0" collapsed="false">
      <c r="A29" s="12" t="s">
        <v>104</v>
      </c>
      <c r="B29" s="13"/>
      <c r="C29" s="14"/>
      <c r="D29" s="13"/>
      <c r="E29" s="33"/>
      <c r="F29" s="18" t="str">
        <f aca="false">IFERROR(D29/B29,"")</f>
        <v/>
      </c>
      <c r="G29" s="15" t="str">
        <f aca="false">IFERROR(C29/D29,"")</f>
        <v/>
      </c>
      <c r="H29" s="19" t="str">
        <f aca="false">IFERROR(G29/$G$31-1,"")</f>
        <v/>
      </c>
      <c r="I29" s="12" t="str">
        <f aca="false">IF(AND(UPPER(E29)="N",N(B29)&gt;0),"Clicks when calls go unanswered",IF(AND(N(B29)&gt;0,N(D29)=0),"Clicks, no conversions",IF(H29="","",IF(H29&gt;'Start here'!$B$16,"Weak",IF(H29&lt;-'Start here'!$B$16,"Strong","Normal")))))</f>
        <v/>
      </c>
    </row>
    <row r="30" customFormat="false" ht="15" hidden="false" customHeight="false" outlineLevel="0" collapsed="false">
      <c r="A30" s="12" t="s">
        <v>105</v>
      </c>
      <c r="B30" s="13"/>
      <c r="C30" s="14"/>
      <c r="D30" s="13"/>
      <c r="E30" s="33"/>
      <c r="F30" s="18" t="str">
        <f aca="false">IFERROR(D30/B30,"")</f>
        <v/>
      </c>
      <c r="G30" s="15" t="str">
        <f aca="false">IFERROR(C30/D30,"")</f>
        <v/>
      </c>
      <c r="H30" s="19" t="str">
        <f aca="false">IFERROR(G30/$G$31-1,"")</f>
        <v/>
      </c>
      <c r="I30" s="12" t="str">
        <f aca="false">IF(AND(UPPER(E30)="N",N(B30)&gt;0),"Clicks when calls go unanswered",IF(AND(N(B30)&gt;0,N(D30)=0),"Clicks, no conversions",IF(H30="","",IF(H30&gt;'Start here'!$B$16,"Weak",IF(H30&lt;-'Start here'!$B$16,"Strong","Normal")))))</f>
        <v/>
      </c>
    </row>
    <row r="31" customFormat="false" ht="15" hidden="false" customHeight="false" outlineLevel="0" collapsed="false">
      <c r="A31" s="20" t="s">
        <v>106</v>
      </c>
      <c r="B31" s="21" t="str">
        <f aca="false">IF(COUNT(B7:B30)=0,"",SUM(B7:B30))</f>
        <v/>
      </c>
      <c r="C31" s="22" t="str">
        <f aca="false">IF(COUNT(C7:C30)=0,"",SUM(C7:C30))</f>
        <v/>
      </c>
      <c r="D31" s="21" t="str">
        <f aca="false">IF(COUNT(D7:D30)=0,"",SUM(D7:D30))</f>
        <v/>
      </c>
      <c r="E31" s="24"/>
      <c r="F31" s="23" t="str">
        <f aca="false">IFERROR(D31/B31,"")</f>
        <v/>
      </c>
      <c r="G31" s="22" t="str">
        <f aca="false">IFERROR(C31/D31,"")</f>
        <v/>
      </c>
      <c r="H31" s="24"/>
      <c r="I31" s="24"/>
    </row>
  </sheetData>
  <mergeCells count="1">
    <mergeCell ref="A3:I3"/>
  </mergeCells>
  <conditionalFormatting sqref="I7:I30">
    <cfRule type="expression" priority="2" aboveAverage="0" equalAverage="0" bottom="0" percent="0" rank="0" text="" dxfId="0">
      <formula>OR(I7="Weak",I7="Clicks, no conversions",I7="Clicks when calls go unanswered")</formula>
    </cfRule>
    <cfRule type="expression" priority="3" aboveAverage="0" equalAverage="0" bottom="0" percent="0" rank="0" text="" dxfId="1">
      <formula>I7="Strong"</formula>
    </cfRule>
  </conditionalFormatting>
  <dataValidations count="1">
    <dataValidation allowBlank="true" errorStyle="stop" operator="between" showDropDown="false" showErrorMessage="false" showInputMessage="false" sqref="E7:E3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3FBE"/>
    <pageSetUpPr fitToPage="tru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38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107</v>
      </c>
    </row>
    <row r="3" customFormat="false" ht="30" hidden="false" customHeight="true" outlineLevel="0" collapsed="false">
      <c r="A3" s="3" t="s">
        <v>108</v>
      </c>
      <c r="B3" s="3"/>
      <c r="C3" s="3"/>
    </row>
    <row r="4" customFormat="false" ht="15" hidden="false" customHeight="false" outlineLevel="0" collapsed="false">
      <c r="A4" s="4"/>
      <c r="B4" s="4"/>
      <c r="C4" s="4"/>
    </row>
    <row r="6" customFormat="false" ht="31.5" hidden="false" customHeight="true" outlineLevel="0" collapsed="false">
      <c r="A6" s="11" t="s">
        <v>109</v>
      </c>
      <c r="B6" s="11" t="s">
        <v>110</v>
      </c>
      <c r="C6" s="11" t="s">
        <v>111</v>
      </c>
    </row>
    <row r="7" customFormat="false" ht="33.75" hidden="false" customHeight="true" outlineLevel="0" collapsed="false">
      <c r="A7" s="34" t="s">
        <v>112</v>
      </c>
      <c r="B7" s="35" t="s">
        <v>113</v>
      </c>
      <c r="C7" s="35" t="s">
        <v>114</v>
      </c>
    </row>
    <row r="8" customFormat="false" ht="33.75" hidden="false" customHeight="true" outlineLevel="0" collapsed="false">
      <c r="A8" s="36" t="s">
        <v>115</v>
      </c>
      <c r="B8" s="37" t="s">
        <v>116</v>
      </c>
      <c r="C8" s="37" t="s">
        <v>117</v>
      </c>
    </row>
    <row r="9" customFormat="false" ht="33.75" hidden="false" customHeight="true" outlineLevel="0" collapsed="false">
      <c r="A9" s="34" t="s">
        <v>118</v>
      </c>
      <c r="B9" s="35" t="s">
        <v>119</v>
      </c>
      <c r="C9" s="35" t="s">
        <v>119</v>
      </c>
    </row>
    <row r="10" customFormat="false" ht="33.75" hidden="false" customHeight="true" outlineLevel="0" collapsed="false">
      <c r="A10" s="36" t="s">
        <v>120</v>
      </c>
      <c r="B10" s="37" t="s">
        <v>121</v>
      </c>
      <c r="C10" s="37" t="s">
        <v>121</v>
      </c>
    </row>
    <row r="11" customFormat="false" ht="33.75" hidden="false" customHeight="true" outlineLevel="0" collapsed="false">
      <c r="A11" s="34" t="s">
        <v>122</v>
      </c>
      <c r="B11" s="35" t="s">
        <v>123</v>
      </c>
      <c r="C11" s="35" t="s">
        <v>123</v>
      </c>
    </row>
    <row r="12" customFormat="false" ht="33.75" hidden="false" customHeight="true" outlineLevel="0" collapsed="false">
      <c r="A12" s="36" t="s">
        <v>124</v>
      </c>
      <c r="B12" s="37" t="s">
        <v>125</v>
      </c>
      <c r="C12" s="37" t="s">
        <v>126</v>
      </c>
    </row>
    <row r="14" customFormat="false" ht="15" hidden="false" customHeight="false" outlineLevel="0" collapsed="false">
      <c r="A14" s="38" t="s">
        <v>127</v>
      </c>
    </row>
    <row r="15" customFormat="false" ht="31.5" hidden="false" customHeight="true" outlineLevel="0" collapsed="false">
      <c r="A15" s="39" t="s">
        <v>128</v>
      </c>
      <c r="B15" s="39"/>
      <c r="C15" s="39"/>
    </row>
    <row r="17" customFormat="false" ht="15" hidden="false" customHeight="false" outlineLevel="0" collapsed="false">
      <c r="A17" s="38" t="s">
        <v>129</v>
      </c>
    </row>
    <row r="18" customFormat="false" ht="15" hidden="false" customHeight="false" outlineLevel="0" collapsed="false">
      <c r="A18" s="40" t="s">
        <v>130</v>
      </c>
    </row>
    <row r="19" customFormat="false" ht="15" hidden="false" customHeight="false" outlineLevel="0" collapsed="false">
      <c r="A19" s="40" t="s">
        <v>131</v>
      </c>
    </row>
    <row r="20" customFormat="false" ht="15" hidden="false" customHeight="false" outlineLevel="0" collapsed="false">
      <c r="A20" s="40" t="s">
        <v>132</v>
      </c>
    </row>
    <row r="22" customFormat="false" ht="15" hidden="false" customHeight="false" outlineLevel="0" collapsed="false">
      <c r="A22" s="17" t="s">
        <v>31</v>
      </c>
    </row>
  </sheetData>
  <mergeCells count="2">
    <mergeCell ref="A3:C3"/>
    <mergeCell ref="A15:C15"/>
  </mergeCells>
  <hyperlinks>
    <hyperlink ref="A18" r:id="rId1" display="Google Ads Help: About ad scheduling"/>
    <hyperlink ref="A19" r:id="rId2" display="Google Ads Help: About bid adjustments (Smart Bidding and ad schedule adjustments)"/>
    <hyperlink ref="A20" r:id="rId3" display="Google Ads Help: Data discrepancies (conversions reported on the ad impression date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2026-09-28T13:21:15Z</dcterms:created>
  <dc:creator>openpyxl</dc:creator>
  <dc:description/>
  <dc:language>en-US</dc:language>
  <cp:lastModifiedBy/>
  <dcterms:modified xsi:type="dcterms:W3CDTF">2026-09-28T13:21:15Z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